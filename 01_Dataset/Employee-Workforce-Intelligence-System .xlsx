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Master " sheetId="1" r:id="rId5"/>
    <sheet state="visible" name="HR Calculations " sheetId="2" r:id="rId6"/>
    <sheet state="visible" name="HR Dashboard " sheetId="3" r:id="rId7"/>
    <sheet state="visible" name="Project Documentation" sheetId="4" r:id="rId8"/>
  </sheets>
  <definedNames/>
  <calcPr/>
</workbook>
</file>

<file path=xl/sharedStrings.xml><?xml version="1.0" encoding="utf-8"?>
<sst xmlns="http://schemas.openxmlformats.org/spreadsheetml/2006/main" count="610" uniqueCount="232">
  <si>
    <t xml:space="preserve">Employee ID </t>
  </si>
  <si>
    <t xml:space="preserve">Employee Name </t>
  </si>
  <si>
    <t xml:space="preserve">Gender </t>
  </si>
  <si>
    <t xml:space="preserve">DOB </t>
  </si>
  <si>
    <t xml:space="preserve">Department </t>
  </si>
  <si>
    <t xml:space="preserve">Designation </t>
  </si>
  <si>
    <t xml:space="preserve">Joining Date </t>
  </si>
  <si>
    <t xml:space="preserve">Employment Type </t>
  </si>
  <si>
    <t xml:space="preserve">Employment Status </t>
  </si>
  <si>
    <t xml:space="preserve">Location </t>
  </si>
  <si>
    <t xml:space="preserve">Manager </t>
  </si>
  <si>
    <t xml:space="preserve">Monthly Salary </t>
  </si>
  <si>
    <t xml:space="preserve">Work Shift </t>
  </si>
  <si>
    <t>Workforce KPIs</t>
  </si>
  <si>
    <t xml:space="preserve">Tenure ( Years ) </t>
  </si>
  <si>
    <t>EMPLOYEE WORKFORCE INTELLIGENCE SYSTEM</t>
  </si>
  <si>
    <t>EMP001</t>
  </si>
  <si>
    <t>Aarav Sharma</t>
  </si>
  <si>
    <t>Male</t>
  </si>
  <si>
    <t xml:space="preserve">Total Employees </t>
  </si>
  <si>
    <t>PROJECT OVERVIEW</t>
  </si>
  <si>
    <t>Front Office</t>
  </si>
  <si>
    <t>Front Office Executive</t>
  </si>
  <si>
    <t>Full-Time</t>
  </si>
  <si>
    <t>Active</t>
  </si>
  <si>
    <t>Ayodhya</t>
  </si>
  <si>
    <t>The Employee Workforce Intelligence System is an HR analytics project designed to transform workforce data into clear, actionable insights. The system analyzes employee headcount, workforce status, payroll, tenure, departmental distribution, and attrition to support data-driven workforce management and HR decision-making.</t>
  </si>
  <si>
    <t>Rohit Mehta</t>
  </si>
  <si>
    <t xml:space="preserve">Active Employees </t>
  </si>
  <si>
    <t>Morning</t>
  </si>
  <si>
    <t xml:space="preserve">Resigned Employees </t>
  </si>
  <si>
    <t xml:space="preserve">Employees On Leave </t>
  </si>
  <si>
    <t xml:space="preserve">Total Monthly Payroll </t>
  </si>
  <si>
    <t>₹14,18,000</t>
  </si>
  <si>
    <t xml:space="preserve">Average Salary </t>
  </si>
  <si>
    <t xml:space="preserve">Average Tenure </t>
  </si>
  <si>
    <t xml:space="preserve">Attrition Rate </t>
  </si>
  <si>
    <t>BUSINESS PROBLEM</t>
  </si>
  <si>
    <t>EMP002</t>
  </si>
  <si>
    <t>Priya Singh</t>
  </si>
  <si>
    <t>Department Analysis</t>
  </si>
  <si>
    <t>Female</t>
  </si>
  <si>
    <t>Department</t>
  </si>
  <si>
    <t>Housekeeping</t>
  </si>
  <si>
    <t>Housekeeping Executive</t>
  </si>
  <si>
    <t>Headcount</t>
  </si>
  <si>
    <t>HR teams need a clear view of workforce size, employee status, departmental staffing, payroll, tenure, and attrition. Without structured workforce analytics, identifying staffing gaps and retention concerns can become difficult. This project addresses that need by organizing employee data into a simple workforce intelligence system.</t>
  </si>
  <si>
    <t>Resigned</t>
  </si>
  <si>
    <t>On Leave</t>
  </si>
  <si>
    <t>Avg Salary</t>
  </si>
  <si>
    <t>Avg Tenure</t>
  </si>
  <si>
    <t>Neha Kapoor</t>
  </si>
  <si>
    <t>Attrition Rate</t>
  </si>
  <si>
    <t>General</t>
  </si>
  <si>
    <t>HR</t>
  </si>
  <si>
    <t>EMP003</t>
  </si>
  <si>
    <t>Rahul Verma</t>
  </si>
  <si>
    <t>Restaurant</t>
  </si>
  <si>
    <t>Restaurant Captain</t>
  </si>
  <si>
    <t>Vikas Sharma</t>
  </si>
  <si>
    <t>Evening</t>
  </si>
  <si>
    <t>EMP004</t>
  </si>
  <si>
    <t>Ananya Gupta</t>
  </si>
  <si>
    <t>DATASET &amp; DATA STRUCTURE</t>
  </si>
  <si>
    <t>HR Executive</t>
  </si>
  <si>
    <t>Meera Joshi</t>
  </si>
  <si>
    <t>EMP005</t>
  </si>
  <si>
    <t>Karan Yadav</t>
  </si>
  <si>
    <t>Kitchen</t>
  </si>
  <si>
    <t>Commis Chef</t>
  </si>
  <si>
    <t>The dataset contains 50 synthetic employee records created for portfolio-based HR analytics. Each record includes employee demographics, department, designation, joining date, employment type, employment status, salary, work shift, manager, and tenure. The structured dataset enables workforce-level and department-level analysis.</t>
  </si>
  <si>
    <t>Sanjay Rao</t>
  </si>
  <si>
    <t>Finance</t>
  </si>
  <si>
    <t>EMP006</t>
  </si>
  <si>
    <t>Neha Mishra</t>
  </si>
  <si>
    <t>Sales &amp; Marketing</t>
  </si>
  <si>
    <t>Accounts Executive</t>
  </si>
  <si>
    <t>Security</t>
  </si>
  <si>
    <t>Arjun Malhotra</t>
  </si>
  <si>
    <t>Administration</t>
  </si>
  <si>
    <t>EMP007</t>
  </si>
  <si>
    <t>Rohit Kumar</t>
  </si>
  <si>
    <t>2,6</t>
  </si>
  <si>
    <t>Engineering</t>
  </si>
  <si>
    <t>Security Supervisor</t>
  </si>
  <si>
    <t>N/A</t>
  </si>
  <si>
    <t>IT</t>
  </si>
  <si>
    <t>Mahesh Singh</t>
  </si>
  <si>
    <t>Night</t>
  </si>
  <si>
    <t>KEY ANALYTICS AREAS</t>
  </si>
  <si>
    <t>EMP008</t>
  </si>
  <si>
    <t>Simran Kaur</t>
  </si>
  <si>
    <t>Sales Coordinator</t>
  </si>
  <si>
    <t>Aditya Verma</t>
  </si>
  <si>
    <t>EMP009</t>
  </si>
  <si>
    <t>Aditya Singh</t>
  </si>
  <si>
    <t>IT Support Executive</t>
  </si>
  <si>
    <t>The system focuses on key HR analytics areas including workforce headcount, employee status, departmental distribution, payroll analysis, average salary, employee tenure, and attrition. These metrics provide a structured view of workforce composition and help identify important workforce trends.</t>
  </si>
  <si>
    <t>EMP010</t>
  </si>
  <si>
    <t>Kavya Sharma</t>
  </si>
  <si>
    <t>Admin Executive</t>
  </si>
  <si>
    <t>EMP011</t>
  </si>
  <si>
    <t>Manish Tiwari</t>
  </si>
  <si>
    <t>Front Office Supervisor</t>
  </si>
  <si>
    <t>DASHBOARD &amp; DECISION SUPPORT</t>
  </si>
  <si>
    <t>EMP012</t>
  </si>
  <si>
    <t>Riya Verma</t>
  </si>
  <si>
    <t>Housekeeping Supervisor</t>
  </si>
  <si>
    <t>EMP013</t>
  </si>
  <si>
    <t>Vivek Singh</t>
  </si>
  <si>
    <t>Steward</t>
  </si>
  <si>
    <t>The HR Dashboard presents key workforce KPIs and department-level analytics in a visual format. It enables quick monitoring of workforce size, active and resigned employees, payroll, salary, tenure, and attrition. The dashboard is designed to support management review and data-driven HR decision-making.</t>
  </si>
  <si>
    <t>EMP014</t>
  </si>
  <si>
    <t>Sakshi Gupta</t>
  </si>
  <si>
    <t>HR Coordinator</t>
  </si>
  <si>
    <t>EMP015</t>
  </si>
  <si>
    <t>Deepak Yadav</t>
  </si>
  <si>
    <t>KEY WORKFORCE INSIGHTS</t>
  </si>
  <si>
    <t>EMP016</t>
  </si>
  <si>
    <t>Pooja Singh</t>
  </si>
  <si>
    <t>Accounts Assistant</t>
  </si>
  <si>
    <t>EMP017</t>
  </si>
  <si>
    <t>Sachin Verma</t>
  </si>
  <si>
    <t>Security Guard</t>
  </si>
  <si>
    <t>The analysis shows a workforce of 50 employees, with 44 currently active and an overall attrition rate of 10%. IT has the highest department-level attrition rate at 75%, while Sales &amp; Marketing records 20%. These insights can help HR identify areas requiring closer workforce monitoring and retention-focused analysis.</t>
  </si>
  <si>
    <t>EMP018</t>
  </si>
  <si>
    <t>Shreya Kapoor</t>
  </si>
  <si>
    <t>Marketing Executive</t>
  </si>
  <si>
    <t>EMP019</t>
  </si>
  <si>
    <t>Akash Mishra</t>
  </si>
  <si>
    <t>System Administrator</t>
  </si>
  <si>
    <t>TOOLS &amp; TECHNOLOGIES</t>
  </si>
  <si>
    <t>EMP020</t>
  </si>
  <si>
    <t>Nidhi Sharma</t>
  </si>
  <si>
    <t>Admin Coordinator</t>
  </si>
  <si>
    <t>EMP021</t>
  </si>
  <si>
    <t>Suresh Kumar</t>
  </si>
  <si>
    <t>Front Office Manager</t>
  </si>
  <si>
    <t>The project was developed using spreadsheet-based data management and HR analytics techniques. The primary tools include Excel/Google Sheets for data organization, calculations, dashboard creation, and visualization. The project also applies fundamental HR analytics concepts such as KPI tracking, workforce segmentation, payroll analysis, tenure analysis, and attrition analysis.</t>
  </si>
  <si>
    <t>EMP022</t>
  </si>
  <si>
    <t>Komal Singh</t>
  </si>
  <si>
    <t>EMP023</t>
  </si>
  <si>
    <t>Mohit Yadav</t>
  </si>
  <si>
    <t>PROJECT LIMITATIONS</t>
  </si>
  <si>
    <t>EMP024</t>
  </si>
  <si>
    <t>Tanvi Gupta</t>
  </si>
  <si>
    <t>Recruitment Coordinator</t>
  </si>
  <si>
    <t>EMP025</t>
  </si>
  <si>
    <t>This project uses synthetic workforce data created for portfolio and learning purposes. The analysis is intended to demonstrate HR analytics concepts and does not represent the actual workforce, policies, or performance of any organization. The system can be further enhanced with real organizational data, advanced statistical analysis, SQL, Power BI, and predictive analytics.</t>
  </si>
  <si>
    <t>Rajesh Verma</t>
  </si>
  <si>
    <t>Sous Chef</t>
  </si>
  <si>
    <t>EMP026</t>
  </si>
  <si>
    <t>Aditi Mishra</t>
  </si>
  <si>
    <t>PROJECT STATUS</t>
  </si>
  <si>
    <t>Finance Executive</t>
  </si>
  <si>
    <t>EMP027</t>
  </si>
  <si>
    <t>Ankit Singh</t>
  </si>
  <si>
    <t>EMP028</t>
  </si>
  <si>
    <t>The Employee Workforce Intelligence System has been completed as a structured HR analytics portfolio project. It includes an employee master dataset, HR calculations, department-level analysis, an interactive workforce dashboard, and project documentation. The project demonstrates an end-to-end approach to transforming workforce data into actionable HR insights.</t>
  </si>
  <si>
    <t>Ishita Verma</t>
  </si>
  <si>
    <t>Sales Executive</t>
  </si>
  <si>
    <t>EMP029</t>
  </si>
  <si>
    <t>Varun Sharma</t>
  </si>
  <si>
    <t>EMP030</t>
  </si>
  <si>
    <t>Swati Kapoor</t>
  </si>
  <si>
    <t>Office Coordinator</t>
  </si>
  <si>
    <t>EMP031</t>
  </si>
  <si>
    <t>Arjun Tiwari</t>
  </si>
  <si>
    <t>EMP032</t>
  </si>
  <si>
    <t>Megha Singh</t>
  </si>
  <si>
    <t>Room Attendant</t>
  </si>
  <si>
    <t>EMP033</t>
  </si>
  <si>
    <t>Abhishek Kumar</t>
  </si>
  <si>
    <t>Restaurant Supervisor</t>
  </si>
  <si>
    <t>EMP034</t>
  </si>
  <si>
    <t>Palak Yadav</t>
  </si>
  <si>
    <t>HR Intern</t>
  </si>
  <si>
    <t>Intern</t>
  </si>
  <si>
    <t>EMP035</t>
  </si>
  <si>
    <t>Nitin Verma</t>
  </si>
  <si>
    <t>Chef de Partie</t>
  </si>
  <si>
    <t>EMP036</t>
  </si>
  <si>
    <t>Ritika Sharma</t>
  </si>
  <si>
    <t>Senior Accounts Executive</t>
  </si>
  <si>
    <t>EMPLOYEE WORKFORCE INTELLIGENCE DASHBOARD</t>
  </si>
  <si>
    <t>EMP037</t>
  </si>
  <si>
    <t>Manoj Singh</t>
  </si>
  <si>
    <t>Total Employees</t>
  </si>
  <si>
    <t>Active Employees</t>
  </si>
  <si>
    <t>EMP038</t>
  </si>
  <si>
    <t>Divya Gupta</t>
  </si>
  <si>
    <t>Digital Marketing Executive</t>
  </si>
  <si>
    <t>Resigned Employees</t>
  </si>
  <si>
    <t>EMP039</t>
  </si>
  <si>
    <t>Rakesh Mishra</t>
  </si>
  <si>
    <t>Contract</t>
  </si>
  <si>
    <t>EMP040</t>
  </si>
  <si>
    <t>Preeti Verma</t>
  </si>
  <si>
    <t>TOTAL MONTHLY PAYROLL</t>
  </si>
  <si>
    <t>AVERAGE SALARY</t>
  </si>
  <si>
    <t>EMP041</t>
  </si>
  <si>
    <t>AVERAGE TENURE</t>
  </si>
  <si>
    <t>Ajay Kumar</t>
  </si>
  <si>
    <t>EMPLOYEES ON LEAVE</t>
  </si>
  <si>
    <t>₹28,360</t>
  </si>
  <si>
    <t>2.9 YEARS</t>
  </si>
  <si>
    <t>EMP042</t>
  </si>
  <si>
    <t>Muskan Singh</t>
  </si>
  <si>
    <t>EMP043</t>
  </si>
  <si>
    <t>Ravi Yadav</t>
  </si>
  <si>
    <t>EMP044</t>
  </si>
  <si>
    <t>Sonal Gupta</t>
  </si>
  <si>
    <t>EMP045</t>
  </si>
  <si>
    <t>Vishal Sharma</t>
  </si>
  <si>
    <t>EMP046</t>
  </si>
  <si>
    <t>Payal Mishra</t>
  </si>
  <si>
    <t>EMP047</t>
  </si>
  <si>
    <t>Gaurav Singh</t>
  </si>
  <si>
    <t>Part-Time</t>
  </si>
  <si>
    <t>Overall workforce size is 50 employees, with 44 currently active.</t>
  </si>
  <si>
    <t>EMP048</t>
  </si>
  <si>
    <t>Shalini Verma</t>
  </si>
  <si>
    <t>5 employees have resigned, representing an overall attrition rate of 10%.</t>
  </si>
  <si>
    <t>EMP049</t>
  </si>
  <si>
    <t>Harsh Yadav</t>
  </si>
  <si>
    <t>IT has the highest department-level attrition rate at 75%, followed by Sales &amp; Marketing at 20%.</t>
  </si>
  <si>
    <t>Kitchen Helper</t>
  </si>
  <si>
    <t>Kitchen recorded 1 resignation, while HR currently has 1 employee on leave.</t>
  </si>
  <si>
    <t>EMP050</t>
  </si>
  <si>
    <t>Anjali Singh</t>
  </si>
  <si>
    <t>Personal Portfolio Project | Synthetic Workforce Data | HR Analytics</t>
  </si>
  <si>
    <t>Guest Relations Executive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</si>
</sst>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yyyy"/>
    <numFmt numFmtId="165" formatCode="dd-mmm-yyyy"/>
    <numFmt numFmtId="166" formatCode="d-mmmm-yyyy"/>
    <numFmt numFmtId="167" formatCode="dd-mmmm-yyyy"/>
  </numFmts>
  <fonts count="23">
    <font>
      <sz val="10.0"/>
      <color rgb="FF000000"/>
      <name val="Arial"/>
      <scheme val="minor"/>
    </font>
    <font>
      <b/>
      <sz val="11.0"/>
      <color rgb="FFFFFFFF"/>
      <name val="Arial"/>
    </font>
    <font>
      <color rgb="FF0000FF"/>
      <name val="Arial"/>
      <scheme val="minor"/>
    </font>
    <font>
      <b/>
      <sz val="27.0"/>
      <color rgb="FFFFFFFF"/>
      <name val="Arial"/>
      <scheme val="minor"/>
    </font>
    <font>
      <color rgb="FF000000"/>
      <name val="Arial"/>
      <scheme val="minor"/>
    </font>
    <font/>
    <font>
      <b/>
      <sz val="22.0"/>
      <color rgb="FFFFFFFF"/>
      <name val="Arial"/>
    </font>
    <font>
      <color theme="1"/>
      <name val="Arial"/>
    </font>
    <font>
      <color theme="1"/>
      <name val="Arial"/>
      <scheme val="minor"/>
    </font>
    <font>
      <b/>
      <sz val="11.0"/>
      <color theme="1"/>
      <name val="Arial"/>
      <scheme val="minor"/>
    </font>
    <font>
      <b/>
      <sz val="16.0"/>
      <color rgb="FF0000FF"/>
      <name val="Arial"/>
    </font>
    <font>
      <sz val="12.0"/>
      <color theme="1"/>
      <name val="Arial"/>
    </font>
    <font>
      <b/>
      <color theme="1"/>
      <name val="Arial"/>
      <scheme val="minor"/>
    </font>
    <font>
      <b/>
      <sz val="22.0"/>
      <color rgb="FFFFFFFF"/>
      <name val="Arial"/>
      <scheme val="minor"/>
    </font>
    <font>
      <b/>
      <sz val="14.0"/>
      <color rgb="FF000000"/>
      <name val="Arial"/>
      <scheme val="minor"/>
    </font>
    <font>
      <b/>
      <sz val="14.0"/>
      <color theme="1"/>
      <name val="Arial"/>
      <scheme val="minor"/>
    </font>
    <font>
      <b/>
      <sz val="12.0"/>
      <color theme="1"/>
      <name val="Arial"/>
      <scheme val="minor"/>
    </font>
    <font>
      <b/>
      <sz val="13.0"/>
      <color theme="1"/>
      <name val="Arial"/>
      <scheme val="minor"/>
    </font>
    <font>
      <sz val="12.0"/>
      <color theme="1"/>
      <name val="Arial"/>
      <scheme val="minor"/>
    </font>
    <font>
      <b/>
      <sz val="17.0"/>
      <color rgb="FFFFFFFF"/>
      <name val="Arial"/>
      <scheme val="minor"/>
    </font>
    <font>
      <sz val="13.0"/>
      <color theme="1"/>
      <name val="Arial"/>
      <scheme val="minor"/>
    </font>
    <font>
      <sz val="14.0"/>
      <color theme="1"/>
      <name val="Arial"/>
      <scheme val="minor"/>
    </font>
    <font>
      <sz val="10.0"/>
      <color theme="1"/>
      <name val="Arial"/>
      <scheme val="minor"/>
    </font>
  </fonts>
  <fills count="8">
    <fill>
      <patternFill patternType="none"/>
    </fill>
    <fill>
      <patternFill patternType="lightGray"/>
    </fill>
    <fill>
      <patternFill patternType="solid">
        <fgColor rgb="FF0000FF"/>
        <bgColor rgb="FF0000FF"/>
      </patternFill>
    </fill>
    <fill>
      <patternFill patternType="solid">
        <fgColor rgb="FFD9D9D9"/>
        <bgColor rgb="FFD9D9D9"/>
      </patternFill>
    </fill>
    <fill>
      <patternFill patternType="solid">
        <fgColor rgb="FFEFEFEF"/>
        <bgColor rgb="FFEFEFEF"/>
      </patternFill>
    </fill>
    <fill>
      <patternFill patternType="solid">
        <fgColor rgb="FFCCCCCC"/>
        <bgColor rgb="FFCCCCCC"/>
      </patternFill>
    </fill>
    <fill>
      <patternFill patternType="solid">
        <fgColor rgb="FF00FFFF"/>
        <bgColor rgb="FF00FFFF"/>
      </patternFill>
    </fill>
    <fill>
      <patternFill patternType="solid">
        <fgColor rgb="FFB7B7B7"/>
        <bgColor rgb="FFB7B7B7"/>
      </patternFill>
    </fill>
  </fills>
  <borders count="16">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ill="1" applyFont="1">
      <alignment horizontal="center" readingOrder="0" vertical="center"/>
    </xf>
    <xf borderId="0" fillId="2" fontId="2" numFmtId="0" xfId="0" applyFill="1" applyFont="1"/>
    <xf borderId="3" fillId="2" fontId="1" numFmtId="0" xfId="0" applyAlignment="1" applyBorder="1" applyFill="1" applyFont="1">
      <alignment horizontal="center" readingOrder="0" vertical="center"/>
    </xf>
    <xf borderId="4" fillId="2" fontId="3" numFmtId="0" xfId="0" applyAlignment="1" applyBorder="1" applyFill="1" applyFont="1">
      <alignment horizontal="center" readingOrder="0" vertical="center"/>
    </xf>
    <xf borderId="5" fillId="3" fontId="4" numFmtId="0" xfId="0" applyAlignment="1" applyBorder="1" applyFill="1" applyFont="1">
      <alignment horizontal="center" readingOrder="0" vertical="center"/>
    </xf>
    <xf borderId="6" fillId="0" fontId="5" numFmtId="0" xfId="0" applyBorder="1" applyFont="1"/>
    <xf borderId="4" fillId="2" fontId="6" numFmtId="0" xfId="0" applyAlignment="1" applyBorder="1" applyFill="1" applyFont="1">
      <alignment horizontal="center" readingOrder="0" vertical="center"/>
    </xf>
    <xf borderId="7" fillId="0" fontId="5" numFmtId="0" xfId="0" applyBorder="1" applyFont="1"/>
    <xf borderId="8" fillId="0" fontId="5" numFmtId="0" xfId="0" applyBorder="1" applyFont="1"/>
    <xf borderId="7" fillId="3" fontId="4" numFmtId="0" xfId="0" applyAlignment="1" applyBorder="1" applyFill="1" applyFont="1">
      <alignment horizontal="center" readingOrder="0" vertical="center"/>
    </xf>
    <xf borderId="9" fillId="0" fontId="5" numFmtId="0" xfId="0" applyBorder="1" applyFont="1"/>
    <xf borderId="10" fillId="0" fontId="5" numFmtId="0" xfId="0" applyBorder="1" applyFont="1"/>
    <xf borderId="0" fillId="0" fontId="7" numFmtId="0" xfId="0" applyFont="1"/>
    <xf borderId="4" fillId="4" fontId="8" numFmtId="0" xfId="0" applyAlignment="1" applyBorder="1" applyFill="1" applyFont="1">
      <alignment horizontal="center" readingOrder="0" vertical="center"/>
    </xf>
    <xf borderId="1" fillId="5" fontId="9" numFmtId="0" xfId="0" applyAlignment="1" applyBorder="1" applyFill="1" applyFont="1">
      <alignment horizontal="center" readingOrder="0" vertical="center"/>
    </xf>
    <xf borderId="5" fillId="4" fontId="8" numFmtId="164" xfId="0" applyAlignment="1" applyBorder="1" applyFill="1" applyFont="1" applyNumberFormat="1">
      <alignment horizontal="center" readingOrder="0" vertical="center"/>
    </xf>
    <xf borderId="4" fillId="6" fontId="10" numFmtId="0" xfId="0" applyAlignment="1" applyBorder="1" applyFill="1" applyFont="1">
      <alignment horizontal="center" readingOrder="0" vertical="center"/>
    </xf>
    <xf borderId="5" fillId="4" fontId="8" numFmtId="0" xfId="0" applyAlignment="1" applyBorder="1" applyFill="1" applyFont="1">
      <alignment horizontal="center" readingOrder="0" vertical="center"/>
    </xf>
    <xf borderId="6" fillId="4" fontId="8" numFmtId="0" xfId="0" applyAlignment="1" applyBorder="1" applyFill="1" applyFont="1">
      <alignment horizontal="center" readingOrder="0" vertical="center"/>
    </xf>
    <xf borderId="1" fillId="4" fontId="8" numFmtId="0" xfId="0" applyAlignment="1" applyBorder="1" applyFill="1" applyFont="1">
      <alignment horizontal="center" vertical="center"/>
    </xf>
    <xf borderId="11" fillId="5" fontId="9" numFmtId="0" xfId="0" applyAlignment="1" applyBorder="1" applyFill="1" applyFont="1">
      <alignment horizontal="center" readingOrder="0" vertical="center"/>
    </xf>
    <xf borderId="4" fillId="3" fontId="11" numFmtId="0" xfId="0" applyAlignment="1" applyBorder="1" applyFill="1" applyFont="1">
      <alignment horizontal="center" readingOrder="0" shrinkToFit="0" vertical="center" wrapText="1"/>
    </xf>
    <xf borderId="12" fillId="4" fontId="8" numFmtId="0" xfId="0" applyAlignment="1" applyBorder="1" applyFill="1" applyFont="1">
      <alignment horizontal="center" readingOrder="0" vertical="center"/>
    </xf>
    <xf borderId="11" fillId="0" fontId="5" numFmtId="0" xfId="0" applyBorder="1" applyFont="1"/>
    <xf borderId="1" fillId="4" fontId="8" numFmtId="0" xfId="0" applyAlignment="1" applyBorder="1" applyFill="1" applyFont="1">
      <alignment horizontal="center" readingOrder="0" vertical="center"/>
    </xf>
    <xf borderId="13" fillId="0" fontId="5" numFmtId="0" xfId="0" applyBorder="1" applyFont="1"/>
    <xf borderId="8" fillId="5" fontId="9" numFmtId="0" xfId="0" applyAlignment="1" applyBorder="1" applyFill="1" applyFont="1">
      <alignment horizontal="center" readingOrder="0" vertical="center"/>
    </xf>
    <xf borderId="7" fillId="4" fontId="8" numFmtId="0" xfId="0" applyBorder="1" applyFill="1" applyFont="1"/>
    <xf borderId="14" fillId="4" fontId="8" numFmtId="9" xfId="0" applyAlignment="1" applyBorder="1" applyFill="1" applyFont="1" applyNumberFormat="1">
      <alignment horizontal="center" readingOrder="0" vertical="center"/>
    </xf>
    <xf borderId="12" fillId="3" fontId="4" numFmtId="0" xfId="0" applyAlignment="1" applyBorder="1" applyFill="1" applyFont="1">
      <alignment horizontal="center" readingOrder="0" vertical="center"/>
    </xf>
    <xf borderId="0" fillId="2" fontId="8" numFmtId="0" xfId="0" applyFill="1" applyFont="1"/>
    <xf borderId="13" fillId="3" fontId="4" numFmtId="0" xfId="0" applyAlignment="1" applyBorder="1" applyFill="1" applyFont="1">
      <alignment horizontal="center" readingOrder="0" vertical="center"/>
    </xf>
    <xf borderId="11" fillId="4" fontId="8" numFmtId="0" xfId="0" applyAlignment="1" applyBorder="1" applyFill="1" applyFont="1">
      <alignment horizontal="center" readingOrder="0" vertical="center"/>
    </xf>
    <xf borderId="12" fillId="4" fontId="8" numFmtId="164" xfId="0" applyAlignment="1" applyBorder="1" applyFill="1" applyFont="1" applyNumberFormat="1">
      <alignment horizontal="center" readingOrder="0" vertical="center"/>
    </xf>
    <xf borderId="1" fillId="7" fontId="12" numFmtId="0" xfId="0" applyAlignment="1" applyBorder="1" applyFill="1" applyFont="1">
      <alignment horizontal="center" readingOrder="0" vertical="center"/>
    </xf>
    <xf borderId="0" fillId="4" fontId="8" numFmtId="0" xfId="0" applyAlignment="1" applyFill="1" applyFont="1">
      <alignment horizontal="center" readingOrder="0" vertical="center"/>
    </xf>
    <xf borderId="2" fillId="7" fontId="12" numFmtId="0" xfId="0" applyAlignment="1" applyBorder="1" applyFill="1" applyFont="1">
      <alignment horizontal="center" readingOrder="0" vertical="center"/>
    </xf>
    <xf borderId="12" fillId="4" fontId="8" numFmtId="165" xfId="0" applyAlignment="1" applyBorder="1" applyFill="1" applyFont="1" applyNumberFormat="1">
      <alignment horizontal="center" readingOrder="0" vertical="center"/>
    </xf>
    <xf borderId="3" fillId="7" fontId="12" numFmtId="0" xfId="0" applyAlignment="1" applyBorder="1" applyFill="1" applyFont="1">
      <alignment horizontal="center" readingOrder="0" vertical="center"/>
    </xf>
    <xf borderId="5" fillId="4" fontId="8" numFmtId="0" xfId="0" applyAlignment="1" applyBorder="1" applyFill="1" applyFont="1">
      <alignment horizontal="center" readingOrder="0"/>
    </xf>
    <xf borderId="5" fillId="4" fontId="8" numFmtId="9" xfId="0" applyAlignment="1" applyBorder="1" applyFill="1" applyFont="1" applyNumberFormat="1">
      <alignment horizontal="center" readingOrder="0" vertical="center"/>
    </xf>
    <xf borderId="0" fillId="0" fontId="12" numFmtId="0" xfId="0" applyAlignment="1" applyFont="1">
      <alignment horizontal="center" readingOrder="0"/>
    </xf>
    <xf borderId="0" fillId="0" fontId="12" numFmtId="0" xfId="0" applyAlignment="1" applyFont="1">
      <alignment horizontal="right" readingOrder="0"/>
    </xf>
    <xf borderId="1" fillId="4" fontId="8" numFmtId="0" xfId="0" applyAlignment="1" applyBorder="1" applyFill="1" applyFont="1">
      <alignment horizontal="center" readingOrder="0"/>
    </xf>
    <xf borderId="12" fillId="4" fontId="8" numFmtId="166" xfId="0" applyAlignment="1" applyBorder="1" applyFill="1" applyFont="1" applyNumberFormat="1">
      <alignment horizontal="center" readingOrder="0" vertical="center"/>
    </xf>
    <xf borderId="1" fillId="4" fontId="8" numFmtId="9" xfId="0" applyAlignment="1" applyBorder="1" applyFill="1" applyFont="1" applyNumberFormat="1">
      <alignment horizontal="center" readingOrder="0" vertical="center"/>
    </xf>
    <xf borderId="12" fillId="4" fontId="8" numFmtId="0" xfId="0" applyAlignment="1" applyBorder="1" applyFill="1" applyFont="1">
      <alignment horizontal="center" readingOrder="0"/>
    </xf>
    <xf borderId="12" fillId="4" fontId="8" numFmtId="9" xfId="0" applyAlignment="1" applyBorder="1" applyFill="1" applyFont="1" applyNumberFormat="1">
      <alignment horizontal="center" readingOrder="0" vertical="center"/>
    </xf>
    <xf borderId="12" fillId="4" fontId="8" numFmtId="10" xfId="0" applyAlignment="1" applyBorder="1" applyFill="1" applyFont="1" applyNumberFormat="1">
      <alignment horizontal="center" readingOrder="0" vertical="center"/>
    </xf>
    <xf borderId="14" fillId="4" fontId="8" numFmtId="0" xfId="0" applyAlignment="1" applyBorder="1" applyFill="1" applyFont="1">
      <alignment horizontal="center" readingOrder="0" vertical="center"/>
    </xf>
    <xf borderId="14" fillId="4" fontId="8" numFmtId="0" xfId="0" applyAlignment="1" applyBorder="1" applyFill="1" applyFont="1">
      <alignment horizontal="center" readingOrder="0"/>
    </xf>
    <xf borderId="12" fillId="4" fontId="8" numFmtId="167" xfId="0" applyAlignment="1" applyBorder="1" applyFill="1" applyFont="1" applyNumberFormat="1">
      <alignment horizontal="center" readingOrder="0" vertical="center"/>
    </xf>
    <xf borderId="4" fillId="2" fontId="13" numFmtId="0" xfId="0" applyAlignment="1" applyBorder="1" applyFill="1" applyFont="1">
      <alignment horizontal="center" readingOrder="0" vertical="center"/>
    </xf>
    <xf borderId="4" fillId="5" fontId="14" numFmtId="0" xfId="0" applyAlignment="1" applyBorder="1" applyFill="1" applyFont="1">
      <alignment horizontal="center" readingOrder="0" vertical="center"/>
    </xf>
    <xf borderId="4" fillId="5" fontId="15" numFmtId="0" xfId="0" applyAlignment="1" applyBorder="1" applyFill="1" applyFont="1">
      <alignment horizontal="center" readingOrder="0" vertical="center"/>
    </xf>
    <xf borderId="15" fillId="4" fontId="9" numFmtId="0" xfId="0" applyAlignment="1" applyBorder="1" applyFill="1" applyFont="1">
      <alignment horizontal="center" readingOrder="0" vertical="center"/>
    </xf>
    <xf borderId="3" fillId="0" fontId="5" numFmtId="0" xfId="0" applyBorder="1" applyFont="1"/>
    <xf borderId="15" fillId="4" fontId="9" numFmtId="9" xfId="0" applyAlignment="1" applyBorder="1" applyFill="1" applyFont="1" applyNumberFormat="1">
      <alignment horizontal="center" readingOrder="0" vertical="center"/>
    </xf>
    <xf borderId="4" fillId="3" fontId="9" numFmtId="0" xfId="0" applyAlignment="1" applyBorder="1" applyFill="1" applyFont="1">
      <alignment horizontal="center" readingOrder="0" vertical="center"/>
    </xf>
    <xf borderId="4" fillId="5" fontId="16" numFmtId="0" xfId="0" applyAlignment="1" applyBorder="1" applyFill="1" applyFont="1">
      <alignment horizontal="center" readingOrder="0" vertical="center"/>
    </xf>
    <xf borderId="4" fillId="3" fontId="16" numFmtId="0" xfId="0" applyAlignment="1" applyBorder="1" applyFill="1" applyFont="1">
      <alignment horizontal="center" readingOrder="0" vertical="center"/>
    </xf>
    <xf borderId="5" fillId="5" fontId="17" numFmtId="0" xfId="0" applyAlignment="1" applyBorder="1" applyFill="1" applyFont="1">
      <alignment horizontal="center" readingOrder="0" vertical="center"/>
    </xf>
    <xf borderId="7" fillId="5" fontId="17" numFmtId="0" xfId="0" applyAlignment="1" applyBorder="1" applyFill="1" applyFont="1">
      <alignment horizontal="center" readingOrder="0" vertical="center"/>
    </xf>
    <xf borderId="14" fillId="0" fontId="5" numFmtId="0" xfId="0" applyBorder="1" applyFont="1"/>
    <xf borderId="5" fillId="4" fontId="18" numFmtId="0" xfId="0" applyAlignment="1" applyBorder="1" applyFill="1" applyFont="1">
      <alignment horizontal="center" readingOrder="0" vertical="center"/>
    </xf>
    <xf borderId="1" fillId="4" fontId="18" numFmtId="0" xfId="0" applyAlignment="1" applyBorder="1" applyFill="1" applyFont="1">
      <alignment horizontal="center" readingOrder="0" vertical="center"/>
    </xf>
    <xf borderId="12" fillId="4" fontId="18" numFmtId="0" xfId="0" applyAlignment="1" applyBorder="1" applyFill="1" applyFont="1">
      <alignment horizontal="center" readingOrder="0" vertical="center"/>
    </xf>
    <xf borderId="1" fillId="0" fontId="8" numFmtId="0" xfId="0" applyBorder="1" applyFont="1"/>
    <xf borderId="14" fillId="4" fontId="18" numFmtId="0" xfId="0" applyAlignment="1" applyBorder="1" applyFill="1" applyFont="1">
      <alignment horizontal="center" readingOrder="0" vertical="center"/>
    </xf>
    <xf borderId="5" fillId="4" fontId="18" numFmtId="9" xfId="0" applyAlignment="1" applyBorder="1" applyFill="1" applyFont="1" applyNumberFormat="1">
      <alignment horizontal="center" readingOrder="0" vertical="center"/>
    </xf>
    <xf borderId="1" fillId="4" fontId="18" numFmtId="9" xfId="0" applyAlignment="1" applyBorder="1" applyFill="1" applyFont="1" applyNumberFormat="1">
      <alignment horizontal="center" readingOrder="0" vertical="center"/>
    </xf>
    <xf borderId="12" fillId="4" fontId="18" numFmtId="9" xfId="0" applyAlignment="1" applyBorder="1" applyFill="1" applyFont="1" applyNumberFormat="1">
      <alignment horizontal="center" readingOrder="0" vertical="center"/>
    </xf>
    <xf borderId="12" fillId="4" fontId="18" numFmtId="10" xfId="0" applyAlignment="1" applyBorder="1" applyFill="1" applyFont="1" applyNumberFormat="1">
      <alignment horizontal="center" readingOrder="0" vertical="center"/>
    </xf>
    <xf borderId="14" fillId="4" fontId="18" numFmtId="9" xfId="0" applyAlignment="1" applyBorder="1" applyFill="1" applyFont="1" applyNumberFormat="1">
      <alignment horizontal="center" readingOrder="0" vertical="center"/>
    </xf>
    <xf borderId="15" fillId="2" fontId="19" numFmtId="0" xfId="0" applyAlignment="1" applyBorder="1" applyFill="1" applyFont="1">
      <alignment horizontal="center" readingOrder="0" vertical="center"/>
    </xf>
    <xf borderId="2" fillId="0" fontId="5" numFmtId="0" xfId="0" applyBorder="1" applyFont="1"/>
    <xf borderId="4" fillId="5" fontId="20" numFmtId="0" xfId="0" applyAlignment="1" applyBorder="1" applyFill="1" applyFont="1">
      <alignment horizontal="center" readingOrder="0" vertical="center"/>
    </xf>
    <xf borderId="4" fillId="3" fontId="21" numFmtId="0" xfId="0" applyAlignment="1" applyBorder="1" applyFill="1" applyFont="1">
      <alignment horizontal="center" readingOrder="0" vertical="center"/>
    </xf>
    <xf borderId="14" fillId="3" fontId="4" numFmtId="0" xfId="0" applyAlignment="1" applyBorder="1" applyFill="1" applyFont="1">
      <alignment horizontal="center" readingOrder="0" vertical="center"/>
    </xf>
    <xf borderId="10" fillId="3" fontId="4" numFmtId="0" xfId="0" applyAlignment="1" applyBorder="1" applyFill="1" applyFont="1">
      <alignment horizontal="center" readingOrder="0" vertical="center"/>
    </xf>
    <xf borderId="8" fillId="4" fontId="8" numFmtId="0" xfId="0" applyAlignment="1" applyBorder="1" applyFill="1" applyFont="1">
      <alignment horizontal="center" readingOrder="0" vertical="center"/>
    </xf>
    <xf borderId="4" fillId="3" fontId="22" numFmtId="0" xfId="0" applyAlignment="1" applyBorder="1" applyFill="1" applyFont="1">
      <alignment horizontal="center" readingOrder="0" vertical="center"/>
    </xf>
    <xf borderId="14" fillId="4" fontId="8" numFmtId="165" xfId="0" applyAlignment="1" applyBorder="1" applyFill="1" applyFont="1" applyNumberFormat="1">
      <alignment horizontal="center" readingOrder="0" vertical="center"/>
    </xf>
    <xf borderId="9" fillId="4" fontId="8" numFmtId="0" xfId="0" applyAlignment="1" applyBorder="1" applyFill="1" applyFont="1">
      <alignment horizontal="center" readingOrder="0" vertical="center"/>
    </xf>
    <xf borderId="14" fillId="4" fontId="8" numFmtId="164" xfId="0" applyAlignment="1" applyBorder="1" applyFill="1" applyFont="1" applyNumberFormat="1">
      <alignment horizontal="center" readingOrder="0" vertical="center"/>
    </xf>
    <xf borderId="1" fillId="4" fontId="8" numFmtId="0" xfId="0" applyBorder="1"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Department-wise Employee Headcount</a:t>
            </a:r>
          </a:p>
        </c:rich>
      </c:tx>
      <c:overlay val="0"/>
    </c:title>
    <c:plotArea>
      <c:layout/>
      <c:barChart>
        <c:barDir val="col"/>
        <c:ser>
          <c:idx val="0"/>
          <c:order val="0"/>
          <c:spPr>
            <a:solidFill>
              <a:schemeClr val="accent1"/>
            </a:solidFill>
            <a:ln cmpd="sng">
              <a:noFill/>
            </a:ln>
          </c:spPr>
          <c:invertIfNegative val="0"/>
          <c:cat>
            <c:strRef>
              <c:f>'HR Dashboard '!$A$14:$A$24</c:f>
            </c:strRef>
          </c:cat>
          <c:val>
            <c:numRef>
              <c:f>'HR Dashboard '!$B$14:$B$24</c:f>
              <c:numCache/>
            </c:numRef>
          </c:val>
        </c:ser>
        <c:axId val="1902445295"/>
        <c:axId val="2076866038"/>
      </c:barChart>
      <c:catAx>
        <c:axId val="19024452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76866038"/>
      </c:catAx>
      <c:valAx>
        <c:axId val="20768660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Headcount</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0244529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Department-wise Attrition Rate</a:t>
            </a:r>
          </a:p>
        </c:rich>
      </c:tx>
      <c:overlay val="0"/>
    </c:title>
    <c:plotArea>
      <c:layout/>
      <c:barChart>
        <c:barDir val="bar"/>
        <c:ser>
          <c:idx val="0"/>
          <c:order val="0"/>
          <c:tx>
            <c:strRef>
              <c:f>'HR Dashboard '!$B$26</c:f>
            </c:strRef>
          </c:tx>
          <c:spPr>
            <a:solidFill>
              <a:schemeClr val="accent1"/>
            </a:solidFill>
            <a:ln cmpd="sng">
              <a:noFill/>
            </a:ln>
          </c:spPr>
          <c:invertIfNegative val="0"/>
          <c:cat>
            <c:strRef>
              <c:f>'HR Dashboard '!$A$27:$A$40</c:f>
            </c:strRef>
          </c:cat>
          <c:val>
            <c:numRef>
              <c:f>'HR Dashboard '!$B$27:$B$40</c:f>
              <c:numCache/>
            </c:numRef>
          </c:val>
        </c:ser>
        <c:axId val="334284864"/>
        <c:axId val="1856486892"/>
      </c:barChart>
      <c:catAx>
        <c:axId val="33428486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56486892"/>
      </c:catAx>
      <c:valAx>
        <c:axId val="185648689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Attrition Rate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34284864"/>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11</xdr:row>
      <xdr:rowOff>9525</xdr:rowOff>
    </xdr:from>
    <xdr:ext cx="5638800" cy="29241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123825</xdr:colOff>
      <xdr:row>24</xdr:row>
      <xdr:rowOff>200025</xdr:rowOff>
    </xdr:from>
    <xdr:ext cx="5638800" cy="29241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0"/>
    <col customWidth="1" min="2" max="2" width="19.5"/>
    <col customWidth="1" min="3" max="3" width="15.75"/>
    <col customWidth="1" min="4" max="4" width="19.5"/>
    <col customWidth="1" min="5" max="5" width="20.88"/>
    <col customWidth="1" min="6" max="6" width="25.38"/>
    <col customWidth="1" min="7" max="7" width="16.75"/>
    <col customWidth="1" min="8" max="8" width="15.75"/>
    <col customWidth="1" min="9" max="9" width="23.13"/>
    <col customWidth="1" min="10" max="10" width="14.0"/>
    <col customWidth="1" min="11" max="11" width="14.25"/>
    <col customWidth="1" min="12" max="12" width="14.5"/>
    <col customWidth="1" min="13" max="13" width="14.13"/>
    <col customWidth="1" min="14" max="14" width="14.5"/>
  </cols>
  <sheetData>
    <row r="1">
      <c r="A1" s="1" t="s">
        <v>0</v>
      </c>
      <c r="B1" s="2" t="s">
        <v>1</v>
      </c>
      <c r="C1" s="1" t="s">
        <v>2</v>
      </c>
      <c r="D1" s="1" t="s">
        <v>3</v>
      </c>
      <c r="E1" s="1" t="s">
        <v>4</v>
      </c>
      <c r="F1" s="2" t="s">
        <v>5</v>
      </c>
      <c r="G1" s="1" t="s">
        <v>6</v>
      </c>
      <c r="H1" s="2" t="s">
        <v>7</v>
      </c>
      <c r="I1" s="2" t="s">
        <v>8</v>
      </c>
      <c r="J1" s="2" t="s">
        <v>9</v>
      </c>
      <c r="K1" s="2" t="s">
        <v>10</v>
      </c>
      <c r="L1" s="2" t="s">
        <v>11</v>
      </c>
      <c r="M1" s="2" t="s">
        <v>12</v>
      </c>
      <c r="N1" s="4" t="s">
        <v>14</v>
      </c>
    </row>
    <row r="2">
      <c r="A2" s="6" t="s">
        <v>16</v>
      </c>
      <c r="B2" s="11" t="s">
        <v>17</v>
      </c>
      <c r="C2" s="15" t="s">
        <v>18</v>
      </c>
      <c r="D2" s="17">
        <v>36205.0</v>
      </c>
      <c r="E2" s="19" t="s">
        <v>21</v>
      </c>
      <c r="F2" s="20" t="s">
        <v>22</v>
      </c>
      <c r="G2" s="17">
        <v>45306.0</v>
      </c>
      <c r="H2" s="20" t="s">
        <v>23</v>
      </c>
      <c r="I2" s="19" t="s">
        <v>24</v>
      </c>
      <c r="J2" s="20" t="s">
        <v>25</v>
      </c>
      <c r="K2" s="19" t="s">
        <v>27</v>
      </c>
      <c r="L2" s="20">
        <v>28500.0</v>
      </c>
      <c r="M2" s="19" t="s">
        <v>29</v>
      </c>
      <c r="N2" s="29">
        <f t="shared" ref="N2:N51" si="1">ROUND((TODAY()-G2)/365.25,1)</f>
        <v>2.7</v>
      </c>
    </row>
    <row r="3">
      <c r="A3" s="31" t="s">
        <v>38</v>
      </c>
      <c r="B3" s="33" t="s">
        <v>39</v>
      </c>
      <c r="C3" s="34" t="s">
        <v>41</v>
      </c>
      <c r="D3" s="35">
        <v>36729.0</v>
      </c>
      <c r="E3" s="24" t="s">
        <v>43</v>
      </c>
      <c r="F3" s="37" t="s">
        <v>44</v>
      </c>
      <c r="G3" s="39">
        <v>45354.0</v>
      </c>
      <c r="H3" s="37" t="s">
        <v>23</v>
      </c>
      <c r="I3" s="24" t="s">
        <v>24</v>
      </c>
      <c r="J3" s="37" t="s">
        <v>25</v>
      </c>
      <c r="K3" s="24" t="s">
        <v>51</v>
      </c>
      <c r="L3" s="37">
        <v>24000.0</v>
      </c>
      <c r="M3" s="24" t="s">
        <v>53</v>
      </c>
      <c r="N3" s="29">
        <f t="shared" si="1"/>
        <v>2.6</v>
      </c>
    </row>
    <row r="4">
      <c r="A4" s="31" t="s">
        <v>55</v>
      </c>
      <c r="B4" s="33" t="s">
        <v>56</v>
      </c>
      <c r="C4" s="34" t="s">
        <v>18</v>
      </c>
      <c r="D4" s="39">
        <v>36108.0</v>
      </c>
      <c r="E4" s="24" t="s">
        <v>57</v>
      </c>
      <c r="F4" s="37" t="s">
        <v>58</v>
      </c>
      <c r="G4" s="35">
        <v>45156.0</v>
      </c>
      <c r="H4" s="37" t="s">
        <v>23</v>
      </c>
      <c r="I4" s="24" t="s">
        <v>24</v>
      </c>
      <c r="J4" s="37" t="s">
        <v>25</v>
      </c>
      <c r="K4" s="24" t="s">
        <v>59</v>
      </c>
      <c r="L4" s="37">
        <v>30000.0</v>
      </c>
      <c r="M4" s="24" t="s">
        <v>60</v>
      </c>
      <c r="N4" s="29">
        <f t="shared" si="1"/>
        <v>3.1</v>
      </c>
    </row>
    <row r="5">
      <c r="A5" s="31" t="s">
        <v>61</v>
      </c>
      <c r="B5" s="33" t="s">
        <v>62</v>
      </c>
      <c r="C5" s="34" t="s">
        <v>41</v>
      </c>
      <c r="D5" s="46">
        <v>37028.0</v>
      </c>
      <c r="E5" s="24" t="s">
        <v>54</v>
      </c>
      <c r="F5" s="37" t="s">
        <v>64</v>
      </c>
      <c r="G5" s="35">
        <v>45453.0</v>
      </c>
      <c r="H5" s="37" t="s">
        <v>23</v>
      </c>
      <c r="I5" s="24" t="s">
        <v>24</v>
      </c>
      <c r="J5" s="37" t="s">
        <v>25</v>
      </c>
      <c r="K5" s="24" t="s">
        <v>65</v>
      </c>
      <c r="L5" s="37">
        <v>32000.0</v>
      </c>
      <c r="M5" s="24" t="s">
        <v>53</v>
      </c>
      <c r="N5" s="29">
        <f t="shared" si="1"/>
        <v>2.3</v>
      </c>
    </row>
    <row r="6">
      <c r="A6" s="31" t="s">
        <v>66</v>
      </c>
      <c r="B6" s="33" t="s">
        <v>67</v>
      </c>
      <c r="C6" s="34" t="s">
        <v>18</v>
      </c>
      <c r="D6" s="39">
        <v>35435.0</v>
      </c>
      <c r="E6" s="24" t="s">
        <v>68</v>
      </c>
      <c r="F6" s="37" t="s">
        <v>69</v>
      </c>
      <c r="G6" s="35">
        <v>44969.0</v>
      </c>
      <c r="H6" s="37" t="s">
        <v>23</v>
      </c>
      <c r="I6" s="24" t="s">
        <v>24</v>
      </c>
      <c r="J6" s="37" t="s">
        <v>25</v>
      </c>
      <c r="K6" s="24" t="s">
        <v>71</v>
      </c>
      <c r="L6" s="37">
        <v>29000.0</v>
      </c>
      <c r="M6" s="24" t="s">
        <v>60</v>
      </c>
      <c r="N6" s="29">
        <f t="shared" si="1"/>
        <v>3.6</v>
      </c>
    </row>
    <row r="7">
      <c r="A7" s="31" t="s">
        <v>73</v>
      </c>
      <c r="B7" s="33" t="s">
        <v>74</v>
      </c>
      <c r="C7" s="34" t="s">
        <v>41</v>
      </c>
      <c r="D7" s="35">
        <v>36797.0</v>
      </c>
      <c r="E7" s="24" t="s">
        <v>72</v>
      </c>
      <c r="F7" s="37" t="s">
        <v>76</v>
      </c>
      <c r="G7" s="35">
        <v>45403.0</v>
      </c>
      <c r="H7" s="37" t="s">
        <v>23</v>
      </c>
      <c r="I7" s="24" t="s">
        <v>24</v>
      </c>
      <c r="J7" s="37" t="s">
        <v>25</v>
      </c>
      <c r="K7" s="24" t="s">
        <v>78</v>
      </c>
      <c r="L7" s="37">
        <v>31000.0</v>
      </c>
      <c r="M7" s="24" t="s">
        <v>53</v>
      </c>
      <c r="N7" s="29">
        <f t="shared" si="1"/>
        <v>2.4</v>
      </c>
    </row>
    <row r="8">
      <c r="A8" s="31" t="s">
        <v>80</v>
      </c>
      <c r="B8" s="33" t="s">
        <v>81</v>
      </c>
      <c r="C8" s="34" t="s">
        <v>18</v>
      </c>
      <c r="D8" s="35">
        <v>35135.0</v>
      </c>
      <c r="E8" s="24" t="s">
        <v>77</v>
      </c>
      <c r="F8" s="37" t="s">
        <v>84</v>
      </c>
      <c r="G8" s="39">
        <v>44749.0</v>
      </c>
      <c r="H8" s="37" t="s">
        <v>23</v>
      </c>
      <c r="I8" s="24" t="s">
        <v>24</v>
      </c>
      <c r="J8" s="37" t="s">
        <v>25</v>
      </c>
      <c r="K8" s="24" t="s">
        <v>87</v>
      </c>
      <c r="L8" s="37">
        <v>27000.0</v>
      </c>
      <c r="M8" s="24" t="s">
        <v>88</v>
      </c>
      <c r="N8" s="29">
        <f t="shared" si="1"/>
        <v>4.2</v>
      </c>
    </row>
    <row r="9">
      <c r="A9" s="31" t="s">
        <v>90</v>
      </c>
      <c r="B9" s="33" t="s">
        <v>91</v>
      </c>
      <c r="C9" s="34" t="s">
        <v>41</v>
      </c>
      <c r="D9" s="35">
        <v>37609.0</v>
      </c>
      <c r="E9" s="24" t="s">
        <v>75</v>
      </c>
      <c r="F9" s="37" t="s">
        <v>92</v>
      </c>
      <c r="G9" s="35">
        <v>45551.0</v>
      </c>
      <c r="H9" s="37" t="s">
        <v>23</v>
      </c>
      <c r="I9" s="24" t="s">
        <v>24</v>
      </c>
      <c r="J9" s="37" t="s">
        <v>25</v>
      </c>
      <c r="K9" s="24" t="s">
        <v>93</v>
      </c>
      <c r="L9" s="37">
        <v>28000.0</v>
      </c>
      <c r="M9" s="24" t="s">
        <v>53</v>
      </c>
      <c r="N9" s="29">
        <f t="shared" si="1"/>
        <v>2</v>
      </c>
    </row>
    <row r="10">
      <c r="A10" s="31" t="s">
        <v>94</v>
      </c>
      <c r="B10" s="33" t="s">
        <v>95</v>
      </c>
      <c r="C10" s="34" t="s">
        <v>18</v>
      </c>
      <c r="D10" s="39">
        <v>36314.0</v>
      </c>
      <c r="E10" s="24" t="s">
        <v>86</v>
      </c>
      <c r="F10" s="37" t="s">
        <v>96</v>
      </c>
      <c r="G10" s="39">
        <v>45299.0</v>
      </c>
      <c r="H10" s="37" t="s">
        <v>23</v>
      </c>
      <c r="I10" s="24" t="s">
        <v>24</v>
      </c>
      <c r="J10" s="37" t="s">
        <v>25</v>
      </c>
      <c r="K10" s="24" t="s">
        <v>78</v>
      </c>
      <c r="L10" s="37">
        <v>35000.0</v>
      </c>
      <c r="M10" s="24" t="s">
        <v>53</v>
      </c>
      <c r="N10" s="29">
        <f t="shared" si="1"/>
        <v>2.7</v>
      </c>
    </row>
    <row r="11">
      <c r="A11" s="31" t="s">
        <v>98</v>
      </c>
      <c r="B11" s="33" t="s">
        <v>99</v>
      </c>
      <c r="C11" s="34" t="s">
        <v>41</v>
      </c>
      <c r="D11" s="35">
        <v>37128.0</v>
      </c>
      <c r="E11" s="24" t="s">
        <v>79</v>
      </c>
      <c r="F11" s="37" t="s">
        <v>100</v>
      </c>
      <c r="G11" s="46">
        <v>45431.0</v>
      </c>
      <c r="H11" s="37" t="s">
        <v>23</v>
      </c>
      <c r="I11" s="24" t="s">
        <v>24</v>
      </c>
      <c r="J11" s="37" t="s">
        <v>25</v>
      </c>
      <c r="K11" s="24" t="s">
        <v>65</v>
      </c>
      <c r="L11" s="37">
        <v>30000.0</v>
      </c>
      <c r="M11" s="24" t="s">
        <v>53</v>
      </c>
      <c r="N11" s="29">
        <f t="shared" si="1"/>
        <v>2.4</v>
      </c>
    </row>
    <row r="12">
      <c r="A12" s="31" t="s">
        <v>101</v>
      </c>
      <c r="B12" s="33" t="s">
        <v>102</v>
      </c>
      <c r="C12" s="34" t="s">
        <v>18</v>
      </c>
      <c r="D12" s="35">
        <v>34711.0</v>
      </c>
      <c r="E12" s="24" t="s">
        <v>21</v>
      </c>
      <c r="F12" s="37" t="s">
        <v>103</v>
      </c>
      <c r="G12" s="35">
        <v>44297.0</v>
      </c>
      <c r="H12" s="37" t="s">
        <v>23</v>
      </c>
      <c r="I12" s="24" t="s">
        <v>24</v>
      </c>
      <c r="J12" s="37" t="s">
        <v>25</v>
      </c>
      <c r="K12" s="24" t="s">
        <v>27</v>
      </c>
      <c r="L12" s="37">
        <v>36000.0</v>
      </c>
      <c r="M12" s="24" t="s">
        <v>60</v>
      </c>
      <c r="N12" s="29">
        <f t="shared" si="1"/>
        <v>5.5</v>
      </c>
    </row>
    <row r="13">
      <c r="A13" s="31" t="s">
        <v>105</v>
      </c>
      <c r="B13" s="33" t="s">
        <v>106</v>
      </c>
      <c r="C13" s="34" t="s">
        <v>41</v>
      </c>
      <c r="D13" s="39">
        <v>36806.0</v>
      </c>
      <c r="E13" s="24" t="s">
        <v>43</v>
      </c>
      <c r="F13" s="37" t="s">
        <v>107</v>
      </c>
      <c r="G13" s="35">
        <v>44737.0</v>
      </c>
      <c r="H13" s="37" t="s">
        <v>23</v>
      </c>
      <c r="I13" s="24" t="s">
        <v>24</v>
      </c>
      <c r="J13" s="37" t="s">
        <v>25</v>
      </c>
      <c r="K13" s="24" t="s">
        <v>51</v>
      </c>
      <c r="L13" s="37">
        <v>32000.0</v>
      </c>
      <c r="M13" s="24" t="s">
        <v>29</v>
      </c>
      <c r="N13" s="29">
        <f t="shared" si="1"/>
        <v>4.3</v>
      </c>
    </row>
    <row r="14">
      <c r="A14" s="31" t="s">
        <v>108</v>
      </c>
      <c r="B14" s="33" t="s">
        <v>109</v>
      </c>
      <c r="C14" s="34" t="s">
        <v>18</v>
      </c>
      <c r="D14" s="46">
        <v>35945.0</v>
      </c>
      <c r="E14" s="24" t="s">
        <v>57</v>
      </c>
      <c r="F14" s="37" t="s">
        <v>110</v>
      </c>
      <c r="G14" s="35">
        <v>45702.0</v>
      </c>
      <c r="H14" s="37" t="s">
        <v>23</v>
      </c>
      <c r="I14" s="24" t="s">
        <v>24</v>
      </c>
      <c r="J14" s="37" t="s">
        <v>25</v>
      </c>
      <c r="K14" s="24" t="s">
        <v>59</v>
      </c>
      <c r="L14" s="37">
        <v>22000.0</v>
      </c>
      <c r="M14" s="24" t="s">
        <v>60</v>
      </c>
      <c r="N14" s="29">
        <f t="shared" si="1"/>
        <v>1.6</v>
      </c>
    </row>
    <row r="15">
      <c r="A15" s="31" t="s">
        <v>112</v>
      </c>
      <c r="B15" s="33" t="s">
        <v>113</v>
      </c>
      <c r="C15" s="34" t="s">
        <v>41</v>
      </c>
      <c r="D15" s="35">
        <v>37303.0</v>
      </c>
      <c r="E15" s="24" t="s">
        <v>54</v>
      </c>
      <c r="F15" s="37" t="s">
        <v>114</v>
      </c>
      <c r="G15" s="39">
        <v>45537.0</v>
      </c>
      <c r="H15" s="37" t="s">
        <v>23</v>
      </c>
      <c r="I15" s="24" t="s">
        <v>24</v>
      </c>
      <c r="J15" s="37" t="s">
        <v>25</v>
      </c>
      <c r="K15" s="24" t="s">
        <v>65</v>
      </c>
      <c r="L15" s="37">
        <v>27000.0</v>
      </c>
      <c r="M15" s="24" t="s">
        <v>53</v>
      </c>
      <c r="N15" s="29">
        <f t="shared" si="1"/>
        <v>2.1</v>
      </c>
    </row>
    <row r="16">
      <c r="A16" s="31" t="s">
        <v>115</v>
      </c>
      <c r="B16" s="33" t="s">
        <v>116</v>
      </c>
      <c r="C16" s="34" t="s">
        <v>18</v>
      </c>
      <c r="D16" s="35">
        <v>35755.0</v>
      </c>
      <c r="E16" s="24" t="s">
        <v>68</v>
      </c>
      <c r="F16" s="37" t="s">
        <v>69</v>
      </c>
      <c r="G16" s="35">
        <v>45368.0</v>
      </c>
      <c r="H16" s="37" t="s">
        <v>23</v>
      </c>
      <c r="I16" s="24" t="s">
        <v>24</v>
      </c>
      <c r="J16" s="37" t="s">
        <v>25</v>
      </c>
      <c r="K16" s="24" t="s">
        <v>71</v>
      </c>
      <c r="L16" s="37">
        <v>28000.0</v>
      </c>
      <c r="M16" s="24" t="s">
        <v>88</v>
      </c>
      <c r="N16" s="29">
        <f t="shared" si="1"/>
        <v>2.5</v>
      </c>
    </row>
    <row r="17">
      <c r="A17" s="31" t="s">
        <v>118</v>
      </c>
      <c r="B17" s="33" t="s">
        <v>119</v>
      </c>
      <c r="C17" s="34" t="s">
        <v>41</v>
      </c>
      <c r="D17" s="39">
        <v>36258.0</v>
      </c>
      <c r="E17" s="24" t="s">
        <v>72</v>
      </c>
      <c r="F17" s="37" t="s">
        <v>120</v>
      </c>
      <c r="G17" s="39">
        <v>45663.0</v>
      </c>
      <c r="H17" s="37" t="s">
        <v>23</v>
      </c>
      <c r="I17" s="24" t="s">
        <v>24</v>
      </c>
      <c r="J17" s="37" t="s">
        <v>25</v>
      </c>
      <c r="K17" s="24" t="s">
        <v>78</v>
      </c>
      <c r="L17" s="37">
        <v>24000.0</v>
      </c>
      <c r="M17" s="24" t="s">
        <v>53</v>
      </c>
      <c r="N17" s="29">
        <f t="shared" si="1"/>
        <v>1.7</v>
      </c>
    </row>
    <row r="18">
      <c r="A18" s="31" t="s">
        <v>121</v>
      </c>
      <c r="B18" s="33" t="s">
        <v>122</v>
      </c>
      <c r="C18" s="34" t="s">
        <v>18</v>
      </c>
      <c r="D18" s="35">
        <v>34559.0</v>
      </c>
      <c r="E18" s="24" t="s">
        <v>77</v>
      </c>
      <c r="F18" s="37" t="s">
        <v>123</v>
      </c>
      <c r="G18" s="46">
        <v>45066.0</v>
      </c>
      <c r="H18" s="37" t="s">
        <v>23</v>
      </c>
      <c r="I18" s="24" t="s">
        <v>24</v>
      </c>
      <c r="J18" s="37" t="s">
        <v>25</v>
      </c>
      <c r="K18" s="24" t="s">
        <v>87</v>
      </c>
      <c r="L18" s="37">
        <v>21000.0</v>
      </c>
      <c r="M18" s="24" t="s">
        <v>88</v>
      </c>
      <c r="N18" s="29">
        <f t="shared" si="1"/>
        <v>3.4</v>
      </c>
    </row>
    <row r="19">
      <c r="A19" s="31" t="s">
        <v>125</v>
      </c>
      <c r="B19" s="33" t="s">
        <v>126</v>
      </c>
      <c r="C19" s="34" t="s">
        <v>41</v>
      </c>
      <c r="D19" s="35">
        <v>37071.0</v>
      </c>
      <c r="E19" s="24" t="s">
        <v>75</v>
      </c>
      <c r="F19" s="37" t="s">
        <v>127</v>
      </c>
      <c r="G19" s="39">
        <v>45208.0</v>
      </c>
      <c r="H19" s="37" t="s">
        <v>23</v>
      </c>
      <c r="I19" s="24" t="s">
        <v>24</v>
      </c>
      <c r="J19" s="37" t="s">
        <v>25</v>
      </c>
      <c r="K19" s="24" t="s">
        <v>93</v>
      </c>
      <c r="L19" s="37">
        <v>31000.0</v>
      </c>
      <c r="M19" s="24" t="s">
        <v>53</v>
      </c>
      <c r="N19" s="29">
        <f t="shared" si="1"/>
        <v>3</v>
      </c>
    </row>
    <row r="20">
      <c r="A20" s="31" t="s">
        <v>128</v>
      </c>
      <c r="B20" s="33" t="s">
        <v>129</v>
      </c>
      <c r="C20" s="34" t="s">
        <v>18</v>
      </c>
      <c r="D20" s="39">
        <v>36133.0</v>
      </c>
      <c r="E20" s="24" t="s">
        <v>86</v>
      </c>
      <c r="F20" s="37" t="s">
        <v>130</v>
      </c>
      <c r="G20" s="35">
        <v>45122.0</v>
      </c>
      <c r="H20" s="37" t="s">
        <v>23</v>
      </c>
      <c r="I20" s="24" t="s">
        <v>24</v>
      </c>
      <c r="J20" s="37" t="s">
        <v>25</v>
      </c>
      <c r="K20" s="24" t="s">
        <v>78</v>
      </c>
      <c r="L20" s="37">
        <v>42000.0</v>
      </c>
      <c r="M20" s="24" t="s">
        <v>53</v>
      </c>
      <c r="N20" s="29">
        <f t="shared" si="1"/>
        <v>3.2</v>
      </c>
    </row>
    <row r="21">
      <c r="A21" s="31" t="s">
        <v>132</v>
      </c>
      <c r="B21" s="33" t="s">
        <v>133</v>
      </c>
      <c r="C21" s="34" t="s">
        <v>41</v>
      </c>
      <c r="D21" s="35">
        <v>36603.0</v>
      </c>
      <c r="E21" s="24" t="s">
        <v>79</v>
      </c>
      <c r="F21" s="37" t="s">
        <v>134</v>
      </c>
      <c r="G21" s="35">
        <v>45608.0</v>
      </c>
      <c r="H21" s="37" t="s">
        <v>23</v>
      </c>
      <c r="I21" s="24" t="s">
        <v>24</v>
      </c>
      <c r="J21" s="37" t="s">
        <v>25</v>
      </c>
      <c r="K21" s="24" t="s">
        <v>65</v>
      </c>
      <c r="L21" s="37">
        <v>26000.0</v>
      </c>
      <c r="M21" s="24" t="s">
        <v>53</v>
      </c>
      <c r="N21" s="29">
        <f t="shared" si="1"/>
        <v>1.9</v>
      </c>
    </row>
    <row r="22">
      <c r="A22" s="31" t="s">
        <v>135</v>
      </c>
      <c r="B22" s="33" t="s">
        <v>136</v>
      </c>
      <c r="C22" s="34" t="s">
        <v>18</v>
      </c>
      <c r="D22" s="35">
        <v>33996.0</v>
      </c>
      <c r="E22" s="24" t="s">
        <v>21</v>
      </c>
      <c r="F22" s="37" t="s">
        <v>137</v>
      </c>
      <c r="G22" s="39">
        <v>43866.0</v>
      </c>
      <c r="H22" s="37" t="s">
        <v>23</v>
      </c>
      <c r="I22" s="24" t="s">
        <v>24</v>
      </c>
      <c r="J22" s="37" t="s">
        <v>25</v>
      </c>
      <c r="K22" s="24" t="s">
        <v>27</v>
      </c>
      <c r="L22" s="37">
        <v>48000.0</v>
      </c>
      <c r="M22" s="24" t="s">
        <v>53</v>
      </c>
      <c r="N22" s="29">
        <f t="shared" si="1"/>
        <v>6.6</v>
      </c>
    </row>
    <row r="23">
      <c r="A23" s="31" t="s">
        <v>139</v>
      </c>
      <c r="B23" s="33" t="s">
        <v>140</v>
      </c>
      <c r="C23" s="34" t="s">
        <v>41</v>
      </c>
      <c r="D23" s="39">
        <v>36047.0</v>
      </c>
      <c r="E23" s="24" t="s">
        <v>43</v>
      </c>
      <c r="F23" s="37" t="s">
        <v>44</v>
      </c>
      <c r="G23" s="35">
        <v>45161.0</v>
      </c>
      <c r="H23" s="37" t="s">
        <v>23</v>
      </c>
      <c r="I23" s="24" t="s">
        <v>24</v>
      </c>
      <c r="J23" s="37" t="s">
        <v>25</v>
      </c>
      <c r="K23" s="24" t="s">
        <v>51</v>
      </c>
      <c r="L23" s="37">
        <v>25000.0</v>
      </c>
      <c r="M23" s="24" t="s">
        <v>53</v>
      </c>
      <c r="N23" s="29">
        <f t="shared" si="1"/>
        <v>3.1</v>
      </c>
    </row>
    <row r="24">
      <c r="A24" s="31" t="s">
        <v>141</v>
      </c>
      <c r="B24" s="33" t="s">
        <v>142</v>
      </c>
      <c r="C24" s="34" t="s">
        <v>18</v>
      </c>
      <c r="D24" s="46">
        <v>36661.0</v>
      </c>
      <c r="E24" s="24" t="s">
        <v>57</v>
      </c>
      <c r="F24" s="37" t="s">
        <v>110</v>
      </c>
      <c r="G24" s="39">
        <v>45661.0</v>
      </c>
      <c r="H24" s="37" t="s">
        <v>23</v>
      </c>
      <c r="I24" s="24" t="s">
        <v>24</v>
      </c>
      <c r="J24" s="37" t="s">
        <v>25</v>
      </c>
      <c r="K24" s="24" t="s">
        <v>59</v>
      </c>
      <c r="L24" s="37">
        <v>22000.0</v>
      </c>
      <c r="M24" s="24" t="s">
        <v>29</v>
      </c>
      <c r="N24" s="29">
        <f t="shared" si="1"/>
        <v>1.7</v>
      </c>
    </row>
    <row r="25">
      <c r="A25" s="31" t="s">
        <v>144</v>
      </c>
      <c r="B25" s="33" t="s">
        <v>145</v>
      </c>
      <c r="C25" s="34" t="s">
        <v>41</v>
      </c>
      <c r="D25" s="35">
        <v>36942.0</v>
      </c>
      <c r="E25" s="24" t="s">
        <v>54</v>
      </c>
      <c r="F25" s="37" t="s">
        <v>146</v>
      </c>
      <c r="G25" s="35">
        <v>45583.0</v>
      </c>
      <c r="H25" s="37" t="s">
        <v>23</v>
      </c>
      <c r="I25" s="24" t="s">
        <v>24</v>
      </c>
      <c r="J25" s="37" t="s">
        <v>25</v>
      </c>
      <c r="K25" s="24" t="s">
        <v>65</v>
      </c>
      <c r="L25" s="37">
        <v>29000.0</v>
      </c>
      <c r="M25" s="24" t="s">
        <v>53</v>
      </c>
      <c r="N25" s="29">
        <f t="shared" si="1"/>
        <v>1.9</v>
      </c>
    </row>
    <row r="26">
      <c r="A26" s="31" t="s">
        <v>147</v>
      </c>
      <c r="B26" s="33" t="s">
        <v>149</v>
      </c>
      <c r="C26" s="34" t="s">
        <v>18</v>
      </c>
      <c r="D26" s="39">
        <v>35252.0</v>
      </c>
      <c r="E26" s="24" t="s">
        <v>68</v>
      </c>
      <c r="F26" s="37" t="s">
        <v>150</v>
      </c>
      <c r="G26" s="35">
        <v>44571.0</v>
      </c>
      <c r="H26" s="37" t="s">
        <v>23</v>
      </c>
      <c r="I26" s="24" t="s">
        <v>24</v>
      </c>
      <c r="J26" s="37" t="s">
        <v>25</v>
      </c>
      <c r="K26" s="24" t="s">
        <v>71</v>
      </c>
      <c r="L26" s="37">
        <v>43000.0</v>
      </c>
      <c r="M26" s="24" t="s">
        <v>60</v>
      </c>
      <c r="N26" s="29">
        <f t="shared" si="1"/>
        <v>4.7</v>
      </c>
    </row>
    <row r="27">
      <c r="A27" s="31" t="s">
        <v>151</v>
      </c>
      <c r="B27" s="33" t="s">
        <v>152</v>
      </c>
      <c r="C27" s="34" t="s">
        <v>41</v>
      </c>
      <c r="D27" s="35">
        <v>36478.0</v>
      </c>
      <c r="E27" s="24" t="s">
        <v>72</v>
      </c>
      <c r="F27" s="37" t="s">
        <v>154</v>
      </c>
      <c r="G27" s="35">
        <v>45007.0</v>
      </c>
      <c r="H27" s="37" t="s">
        <v>23</v>
      </c>
      <c r="I27" s="24" t="s">
        <v>24</v>
      </c>
      <c r="J27" s="37" t="s">
        <v>25</v>
      </c>
      <c r="K27" s="24" t="s">
        <v>78</v>
      </c>
      <c r="L27" s="37">
        <v>34000.0</v>
      </c>
      <c r="M27" s="24" t="s">
        <v>53</v>
      </c>
      <c r="N27" s="29">
        <f t="shared" si="1"/>
        <v>3.5</v>
      </c>
    </row>
    <row r="28">
      <c r="A28" s="31" t="s">
        <v>155</v>
      </c>
      <c r="B28" s="33" t="s">
        <v>156</v>
      </c>
      <c r="C28" s="34" t="s">
        <v>18</v>
      </c>
      <c r="D28" s="39">
        <v>35522.0</v>
      </c>
      <c r="E28" s="24" t="s">
        <v>77</v>
      </c>
      <c r="F28" s="37" t="s">
        <v>123</v>
      </c>
      <c r="G28" s="35">
        <v>45459.0</v>
      </c>
      <c r="H28" s="37" t="s">
        <v>23</v>
      </c>
      <c r="I28" s="24" t="s">
        <v>24</v>
      </c>
      <c r="J28" s="37" t="s">
        <v>25</v>
      </c>
      <c r="K28" s="24" t="s">
        <v>87</v>
      </c>
      <c r="L28" s="37">
        <v>21000.0</v>
      </c>
      <c r="M28" s="24" t="s">
        <v>29</v>
      </c>
      <c r="N28" s="29">
        <f t="shared" si="1"/>
        <v>2.3</v>
      </c>
    </row>
    <row r="29">
      <c r="A29" s="31" t="s">
        <v>157</v>
      </c>
      <c r="B29" s="33" t="s">
        <v>159</v>
      </c>
      <c r="C29" s="34" t="s">
        <v>41</v>
      </c>
      <c r="D29" s="35">
        <v>37499.0</v>
      </c>
      <c r="E29" s="24" t="s">
        <v>75</v>
      </c>
      <c r="F29" s="37" t="s">
        <v>160</v>
      </c>
      <c r="G29" s="39">
        <v>45695.0</v>
      </c>
      <c r="H29" s="37" t="s">
        <v>23</v>
      </c>
      <c r="I29" s="24" t="s">
        <v>24</v>
      </c>
      <c r="J29" s="37" t="s">
        <v>25</v>
      </c>
      <c r="K29" s="24" t="s">
        <v>93</v>
      </c>
      <c r="L29" s="37">
        <v>26000.0</v>
      </c>
      <c r="M29" s="24" t="s">
        <v>53</v>
      </c>
      <c r="N29" s="29">
        <f t="shared" si="1"/>
        <v>1.6</v>
      </c>
    </row>
    <row r="30">
      <c r="A30" s="31" t="s">
        <v>161</v>
      </c>
      <c r="B30" s="33" t="s">
        <v>162</v>
      </c>
      <c r="C30" s="34" t="s">
        <v>18</v>
      </c>
      <c r="D30" s="35">
        <v>34982.0</v>
      </c>
      <c r="E30" s="24" t="s">
        <v>86</v>
      </c>
      <c r="F30" s="37" t="s">
        <v>96</v>
      </c>
      <c r="G30" s="35">
        <v>44679.0</v>
      </c>
      <c r="H30" s="37" t="s">
        <v>23</v>
      </c>
      <c r="I30" s="24" t="s">
        <v>24</v>
      </c>
      <c r="J30" s="37" t="s">
        <v>25</v>
      </c>
      <c r="K30" s="24" t="s">
        <v>78</v>
      </c>
      <c r="L30" s="37">
        <v>35000.0</v>
      </c>
      <c r="M30" s="24" t="s">
        <v>53</v>
      </c>
      <c r="N30" s="29">
        <f t="shared" si="1"/>
        <v>4.4</v>
      </c>
    </row>
    <row r="31">
      <c r="A31" s="31" t="s">
        <v>163</v>
      </c>
      <c r="B31" s="33" t="s">
        <v>164</v>
      </c>
      <c r="C31" s="34" t="s">
        <v>41</v>
      </c>
      <c r="D31" s="46">
        <v>35939.0</v>
      </c>
      <c r="E31" s="24" t="s">
        <v>79</v>
      </c>
      <c r="F31" s="37" t="s">
        <v>165</v>
      </c>
      <c r="G31" s="35">
        <v>45120.0</v>
      </c>
      <c r="H31" s="37" t="s">
        <v>23</v>
      </c>
      <c r="I31" s="24" t="s">
        <v>24</v>
      </c>
      <c r="J31" s="37" t="s">
        <v>25</v>
      </c>
      <c r="K31" s="24" t="s">
        <v>65</v>
      </c>
      <c r="L31" s="37">
        <v>28000.0</v>
      </c>
      <c r="M31" s="24" t="s">
        <v>53</v>
      </c>
      <c r="N31" s="29">
        <f t="shared" si="1"/>
        <v>3.2</v>
      </c>
    </row>
    <row r="32">
      <c r="A32" s="31" t="s">
        <v>166</v>
      </c>
      <c r="B32" s="33" t="s">
        <v>167</v>
      </c>
      <c r="C32" s="34" t="s">
        <v>18</v>
      </c>
      <c r="D32" s="35">
        <v>36179.0</v>
      </c>
      <c r="E32" s="24" t="s">
        <v>21</v>
      </c>
      <c r="F32" s="37" t="s">
        <v>22</v>
      </c>
      <c r="G32" s="35">
        <v>45333.0</v>
      </c>
      <c r="H32" s="37" t="s">
        <v>23</v>
      </c>
      <c r="I32" s="24" t="s">
        <v>24</v>
      </c>
      <c r="J32" s="37" t="s">
        <v>25</v>
      </c>
      <c r="K32" s="24" t="s">
        <v>27</v>
      </c>
      <c r="L32" s="37">
        <v>28500.0</v>
      </c>
      <c r="M32" s="24" t="s">
        <v>60</v>
      </c>
      <c r="N32" s="29">
        <f t="shared" si="1"/>
        <v>2.6</v>
      </c>
    </row>
    <row r="33">
      <c r="A33" s="31" t="s">
        <v>168</v>
      </c>
      <c r="B33" s="33" t="s">
        <v>169</v>
      </c>
      <c r="C33" s="34" t="s">
        <v>41</v>
      </c>
      <c r="D33" s="39">
        <v>37047.0</v>
      </c>
      <c r="E33" s="24" t="s">
        <v>43</v>
      </c>
      <c r="F33" s="37" t="s">
        <v>170</v>
      </c>
      <c r="G33" s="39">
        <v>45750.0</v>
      </c>
      <c r="H33" s="37" t="s">
        <v>23</v>
      </c>
      <c r="I33" s="24" t="s">
        <v>24</v>
      </c>
      <c r="J33" s="37" t="s">
        <v>25</v>
      </c>
      <c r="K33" s="24" t="s">
        <v>51</v>
      </c>
      <c r="L33" s="37">
        <v>21000.0</v>
      </c>
      <c r="M33" s="24" t="s">
        <v>29</v>
      </c>
      <c r="N33" s="29">
        <f t="shared" si="1"/>
        <v>1.5</v>
      </c>
    </row>
    <row r="34">
      <c r="A34" s="31" t="s">
        <v>171</v>
      </c>
      <c r="B34" s="33" t="s">
        <v>172</v>
      </c>
      <c r="C34" s="34" t="s">
        <v>18</v>
      </c>
      <c r="D34" s="35">
        <v>35416.0</v>
      </c>
      <c r="E34" s="24" t="s">
        <v>57</v>
      </c>
      <c r="F34" s="37" t="s">
        <v>173</v>
      </c>
      <c r="G34" s="35">
        <v>44458.0</v>
      </c>
      <c r="H34" s="37" t="s">
        <v>23</v>
      </c>
      <c r="I34" s="24" t="s">
        <v>24</v>
      </c>
      <c r="J34" s="37" t="s">
        <v>25</v>
      </c>
      <c r="K34" s="24" t="s">
        <v>59</v>
      </c>
      <c r="L34" s="37">
        <v>38000.0</v>
      </c>
      <c r="M34" s="24" t="s">
        <v>60</v>
      </c>
      <c r="N34" s="29">
        <f t="shared" si="1"/>
        <v>5</v>
      </c>
    </row>
    <row r="35">
      <c r="A35" s="31" t="s">
        <v>174</v>
      </c>
      <c r="B35" s="33" t="s">
        <v>175</v>
      </c>
      <c r="C35" s="34" t="s">
        <v>41</v>
      </c>
      <c r="D35" s="35">
        <v>37341.0</v>
      </c>
      <c r="E35" s="24" t="s">
        <v>54</v>
      </c>
      <c r="F35" s="37" t="s">
        <v>176</v>
      </c>
      <c r="G35" s="39">
        <v>45839.0</v>
      </c>
      <c r="H35" s="37" t="s">
        <v>177</v>
      </c>
      <c r="I35" s="24" t="s">
        <v>24</v>
      </c>
      <c r="J35" s="37" t="s">
        <v>25</v>
      </c>
      <c r="K35" s="24" t="s">
        <v>65</v>
      </c>
      <c r="L35" s="37">
        <v>12000.0</v>
      </c>
      <c r="M35" s="24" t="s">
        <v>53</v>
      </c>
      <c r="N35" s="29">
        <f t="shared" si="1"/>
        <v>1.2</v>
      </c>
    </row>
    <row r="36">
      <c r="A36" s="31" t="s">
        <v>178</v>
      </c>
      <c r="B36" s="33" t="s">
        <v>179</v>
      </c>
      <c r="C36" s="34" t="s">
        <v>18</v>
      </c>
      <c r="D36" s="39">
        <v>34554.0</v>
      </c>
      <c r="E36" s="24" t="s">
        <v>68</v>
      </c>
      <c r="F36" s="37" t="s">
        <v>180</v>
      </c>
      <c r="G36" s="53">
        <v>44325.0</v>
      </c>
      <c r="H36" s="37" t="s">
        <v>23</v>
      </c>
      <c r="I36" s="24" t="s">
        <v>24</v>
      </c>
      <c r="J36" s="37" t="s">
        <v>25</v>
      </c>
      <c r="K36" s="24" t="s">
        <v>71</v>
      </c>
      <c r="L36" s="37">
        <v>36000.0</v>
      </c>
      <c r="M36" s="24" t="s">
        <v>60</v>
      </c>
      <c r="N36" s="29">
        <f t="shared" si="1"/>
        <v>5.4</v>
      </c>
    </row>
    <row r="37">
      <c r="A37" s="31" t="s">
        <v>181</v>
      </c>
      <c r="B37" s="33" t="s">
        <v>182</v>
      </c>
      <c r="C37" s="34" t="s">
        <v>41</v>
      </c>
      <c r="D37" s="35">
        <v>35473.0</v>
      </c>
      <c r="E37" s="24" t="s">
        <v>72</v>
      </c>
      <c r="F37" s="37" t="s">
        <v>183</v>
      </c>
      <c r="G37" s="35">
        <v>44422.0</v>
      </c>
      <c r="H37" s="37" t="s">
        <v>23</v>
      </c>
      <c r="I37" s="24" t="s">
        <v>24</v>
      </c>
      <c r="J37" s="37" t="s">
        <v>25</v>
      </c>
      <c r="K37" s="24" t="s">
        <v>78</v>
      </c>
      <c r="L37" s="37">
        <v>39000.0</v>
      </c>
      <c r="M37" s="24" t="s">
        <v>53</v>
      </c>
      <c r="N37" s="29">
        <f t="shared" si="1"/>
        <v>5.1</v>
      </c>
    </row>
    <row r="38">
      <c r="A38" s="31" t="s">
        <v>185</v>
      </c>
      <c r="B38" s="33" t="s">
        <v>186</v>
      </c>
      <c r="C38" s="34" t="s">
        <v>18</v>
      </c>
      <c r="D38" s="35">
        <v>33900.0</v>
      </c>
      <c r="E38" s="24" t="s">
        <v>77</v>
      </c>
      <c r="F38" s="37" t="s">
        <v>84</v>
      </c>
      <c r="G38" s="35">
        <v>44214.0</v>
      </c>
      <c r="H38" s="37" t="s">
        <v>23</v>
      </c>
      <c r="I38" s="24" t="s">
        <v>24</v>
      </c>
      <c r="J38" s="37" t="s">
        <v>25</v>
      </c>
      <c r="K38" s="24" t="s">
        <v>87</v>
      </c>
      <c r="L38" s="37">
        <v>29000.0</v>
      </c>
      <c r="M38" s="24" t="s">
        <v>88</v>
      </c>
      <c r="N38" s="29">
        <f t="shared" si="1"/>
        <v>5.7</v>
      </c>
    </row>
    <row r="39">
      <c r="A39" s="31" t="s">
        <v>189</v>
      </c>
      <c r="B39" s="33" t="s">
        <v>190</v>
      </c>
      <c r="C39" s="34" t="s">
        <v>41</v>
      </c>
      <c r="D39" s="39">
        <v>36678.0</v>
      </c>
      <c r="E39" s="24" t="s">
        <v>75</v>
      </c>
      <c r="F39" s="37" t="s">
        <v>191</v>
      </c>
      <c r="G39" s="39">
        <v>45356.0</v>
      </c>
      <c r="H39" s="37" t="s">
        <v>23</v>
      </c>
      <c r="I39" s="24" t="s">
        <v>24</v>
      </c>
      <c r="J39" s="37" t="s">
        <v>25</v>
      </c>
      <c r="K39" s="24" t="s">
        <v>93</v>
      </c>
      <c r="L39" s="37">
        <v>30000.0</v>
      </c>
      <c r="M39" s="24" t="s">
        <v>53</v>
      </c>
      <c r="N39" s="29">
        <f t="shared" si="1"/>
        <v>2.6</v>
      </c>
    </row>
    <row r="40">
      <c r="A40" s="31" t="s">
        <v>193</v>
      </c>
      <c r="B40" s="33" t="s">
        <v>194</v>
      </c>
      <c r="C40" s="34" t="s">
        <v>18</v>
      </c>
      <c r="D40" s="35">
        <v>35901.0</v>
      </c>
      <c r="E40" s="24" t="s">
        <v>86</v>
      </c>
      <c r="F40" s="37" t="s">
        <v>96</v>
      </c>
      <c r="G40" s="35">
        <v>45464.0</v>
      </c>
      <c r="H40" s="37" t="s">
        <v>195</v>
      </c>
      <c r="I40" s="24" t="s">
        <v>24</v>
      </c>
      <c r="J40" s="37" t="s">
        <v>25</v>
      </c>
      <c r="K40" s="24" t="s">
        <v>78</v>
      </c>
      <c r="L40" s="37">
        <v>30000.0</v>
      </c>
      <c r="M40" s="24" t="s">
        <v>53</v>
      </c>
      <c r="N40" s="29">
        <f t="shared" si="1"/>
        <v>2.3</v>
      </c>
    </row>
    <row r="41">
      <c r="A41" s="31" t="s">
        <v>196</v>
      </c>
      <c r="B41" s="33" t="s">
        <v>197</v>
      </c>
      <c r="C41" s="34" t="s">
        <v>41</v>
      </c>
      <c r="D41" s="35">
        <v>36430.0</v>
      </c>
      <c r="E41" s="24" t="s">
        <v>79</v>
      </c>
      <c r="F41" s="37" t="s">
        <v>100</v>
      </c>
      <c r="G41" s="35">
        <v>45260.0</v>
      </c>
      <c r="H41" s="37" t="s">
        <v>23</v>
      </c>
      <c r="I41" s="24" t="s">
        <v>24</v>
      </c>
      <c r="J41" s="37" t="s">
        <v>25</v>
      </c>
      <c r="K41" s="24" t="s">
        <v>65</v>
      </c>
      <c r="L41" s="37">
        <v>30000.0</v>
      </c>
      <c r="M41" s="24" t="s">
        <v>53</v>
      </c>
      <c r="N41" s="29">
        <f t="shared" si="1"/>
        <v>2.8</v>
      </c>
    </row>
    <row r="42">
      <c r="A42" s="31" t="s">
        <v>200</v>
      </c>
      <c r="B42" s="33" t="s">
        <v>202</v>
      </c>
      <c r="C42" s="34" t="s">
        <v>18</v>
      </c>
      <c r="D42" s="39">
        <v>34708.0</v>
      </c>
      <c r="E42" s="24" t="s">
        <v>57</v>
      </c>
      <c r="F42" s="37" t="s">
        <v>110</v>
      </c>
      <c r="G42" s="35">
        <v>44971.0</v>
      </c>
      <c r="H42" s="37" t="s">
        <v>23</v>
      </c>
      <c r="I42" s="24" t="s">
        <v>47</v>
      </c>
      <c r="J42" s="37" t="s">
        <v>25</v>
      </c>
      <c r="K42" s="24" t="s">
        <v>59</v>
      </c>
      <c r="L42" s="37">
        <v>22000.0</v>
      </c>
      <c r="M42" s="24" t="s">
        <v>60</v>
      </c>
      <c r="N42" s="29">
        <f t="shared" si="1"/>
        <v>3.6</v>
      </c>
    </row>
    <row r="43">
      <c r="A43" s="31" t="s">
        <v>206</v>
      </c>
      <c r="B43" s="33" t="s">
        <v>207</v>
      </c>
      <c r="C43" s="34" t="s">
        <v>41</v>
      </c>
      <c r="D43" s="35">
        <v>36725.0</v>
      </c>
      <c r="E43" s="24" t="s">
        <v>43</v>
      </c>
      <c r="F43" s="37" t="s">
        <v>170</v>
      </c>
      <c r="G43" s="39">
        <v>44840.0</v>
      </c>
      <c r="H43" s="37" t="s">
        <v>23</v>
      </c>
      <c r="I43" s="24" t="s">
        <v>47</v>
      </c>
      <c r="J43" s="37" t="s">
        <v>25</v>
      </c>
      <c r="K43" s="24" t="s">
        <v>51</v>
      </c>
      <c r="L43" s="37">
        <v>21000.0</v>
      </c>
      <c r="M43" s="24" t="s">
        <v>29</v>
      </c>
      <c r="N43" s="29">
        <f t="shared" si="1"/>
        <v>4</v>
      </c>
    </row>
    <row r="44">
      <c r="A44" s="31" t="s">
        <v>208</v>
      </c>
      <c r="B44" s="33" t="s">
        <v>209</v>
      </c>
      <c r="C44" s="34" t="s">
        <v>18</v>
      </c>
      <c r="D44" s="46">
        <v>35575.0</v>
      </c>
      <c r="E44" s="24" t="s">
        <v>68</v>
      </c>
      <c r="F44" s="37" t="s">
        <v>69</v>
      </c>
      <c r="G44" s="35">
        <v>44578.0</v>
      </c>
      <c r="H44" s="37" t="s">
        <v>23</v>
      </c>
      <c r="I44" s="24" t="s">
        <v>47</v>
      </c>
      <c r="J44" s="37" t="s">
        <v>25</v>
      </c>
      <c r="K44" s="24" t="s">
        <v>71</v>
      </c>
      <c r="L44" s="37">
        <v>27000.0</v>
      </c>
      <c r="M44" s="24" t="s">
        <v>60</v>
      </c>
      <c r="N44" s="29">
        <f t="shared" si="1"/>
        <v>4.7</v>
      </c>
    </row>
    <row r="45">
      <c r="A45" s="31" t="s">
        <v>210</v>
      </c>
      <c r="B45" s="33" t="s">
        <v>211</v>
      </c>
      <c r="C45" s="34" t="s">
        <v>41</v>
      </c>
      <c r="D45" s="39">
        <v>36222.0</v>
      </c>
      <c r="E45" s="24" t="s">
        <v>75</v>
      </c>
      <c r="F45" s="37" t="s">
        <v>160</v>
      </c>
      <c r="G45" s="39">
        <v>45086.0</v>
      </c>
      <c r="H45" s="37" t="s">
        <v>23</v>
      </c>
      <c r="I45" s="24" t="s">
        <v>47</v>
      </c>
      <c r="J45" s="37" t="s">
        <v>25</v>
      </c>
      <c r="K45" s="24" t="s">
        <v>93</v>
      </c>
      <c r="L45" s="37">
        <v>27000.0</v>
      </c>
      <c r="M45" s="24" t="s">
        <v>53</v>
      </c>
      <c r="N45" s="29">
        <f t="shared" si="1"/>
        <v>3.3</v>
      </c>
    </row>
    <row r="46">
      <c r="A46" s="31" t="s">
        <v>212</v>
      </c>
      <c r="B46" s="33" t="s">
        <v>213</v>
      </c>
      <c r="C46" s="34" t="s">
        <v>18</v>
      </c>
      <c r="D46" s="35">
        <v>35410.0</v>
      </c>
      <c r="E46" s="24" t="s">
        <v>21</v>
      </c>
      <c r="F46" s="37" t="s">
        <v>22</v>
      </c>
      <c r="G46" s="35">
        <v>44785.0</v>
      </c>
      <c r="H46" s="37" t="s">
        <v>23</v>
      </c>
      <c r="I46" s="24" t="s">
        <v>47</v>
      </c>
      <c r="J46" s="37" t="s">
        <v>25</v>
      </c>
      <c r="K46" s="24" t="s">
        <v>27</v>
      </c>
      <c r="L46" s="37">
        <v>28000.0</v>
      </c>
      <c r="M46" s="24" t="s">
        <v>88</v>
      </c>
      <c r="N46" s="29">
        <f t="shared" si="1"/>
        <v>4.1</v>
      </c>
    </row>
    <row r="47">
      <c r="A47" s="31" t="s">
        <v>214</v>
      </c>
      <c r="B47" s="33" t="s">
        <v>215</v>
      </c>
      <c r="C47" s="34" t="s">
        <v>41</v>
      </c>
      <c r="D47" s="35">
        <v>37003.0</v>
      </c>
      <c r="E47" s="24" t="s">
        <v>54</v>
      </c>
      <c r="F47" s="37" t="s">
        <v>114</v>
      </c>
      <c r="G47" s="35">
        <v>45672.0</v>
      </c>
      <c r="H47" s="37" t="s">
        <v>23</v>
      </c>
      <c r="I47" s="24" t="s">
        <v>48</v>
      </c>
      <c r="J47" s="37" t="s">
        <v>25</v>
      </c>
      <c r="K47" s="24" t="s">
        <v>65</v>
      </c>
      <c r="L47" s="37">
        <v>27000.0</v>
      </c>
      <c r="M47" s="24" t="s">
        <v>53</v>
      </c>
      <c r="N47" s="29">
        <f t="shared" si="1"/>
        <v>1.7</v>
      </c>
    </row>
    <row r="48">
      <c r="A48" s="31" t="s">
        <v>216</v>
      </c>
      <c r="B48" s="33" t="s">
        <v>217</v>
      </c>
      <c r="C48" s="34" t="s">
        <v>18</v>
      </c>
      <c r="D48" s="39">
        <v>36075.0</v>
      </c>
      <c r="E48" s="24" t="s">
        <v>57</v>
      </c>
      <c r="F48" s="37" t="s">
        <v>110</v>
      </c>
      <c r="G48" s="35">
        <v>45371.0</v>
      </c>
      <c r="H48" s="37" t="s">
        <v>218</v>
      </c>
      <c r="I48" s="24" t="s">
        <v>24</v>
      </c>
      <c r="J48" s="37" t="s">
        <v>25</v>
      </c>
      <c r="K48" s="24" t="s">
        <v>59</v>
      </c>
      <c r="L48" s="37">
        <v>16000.0</v>
      </c>
      <c r="M48" s="24" t="s">
        <v>60</v>
      </c>
      <c r="N48" s="29">
        <f t="shared" si="1"/>
        <v>2.5</v>
      </c>
    </row>
    <row r="49">
      <c r="A49" s="31" t="s">
        <v>220</v>
      </c>
      <c r="B49" s="33" t="s">
        <v>221</v>
      </c>
      <c r="C49" s="34" t="s">
        <v>41</v>
      </c>
      <c r="D49" s="35">
        <v>36554.0</v>
      </c>
      <c r="E49" s="24" t="s">
        <v>43</v>
      </c>
      <c r="F49" s="37" t="s">
        <v>170</v>
      </c>
      <c r="G49" s="46">
        <v>45430.0</v>
      </c>
      <c r="H49" s="37" t="s">
        <v>218</v>
      </c>
      <c r="I49" s="24" t="s">
        <v>24</v>
      </c>
      <c r="J49" s="37" t="s">
        <v>25</v>
      </c>
      <c r="K49" s="24" t="s">
        <v>51</v>
      </c>
      <c r="L49" s="37">
        <v>15000.0</v>
      </c>
      <c r="M49" s="24" t="s">
        <v>29</v>
      </c>
      <c r="N49" s="29">
        <f t="shared" si="1"/>
        <v>2.4</v>
      </c>
    </row>
    <row r="50">
      <c r="A50" s="31" t="s">
        <v>223</v>
      </c>
      <c r="B50" s="33" t="s">
        <v>224</v>
      </c>
      <c r="C50" s="34" t="s">
        <v>18</v>
      </c>
      <c r="D50" s="35">
        <v>36325.0</v>
      </c>
      <c r="E50" s="24" t="s">
        <v>68</v>
      </c>
      <c r="F50" s="37" t="s">
        <v>226</v>
      </c>
      <c r="G50" s="39">
        <v>45542.0</v>
      </c>
      <c r="H50" s="37" t="s">
        <v>23</v>
      </c>
      <c r="I50" s="24" t="s">
        <v>24</v>
      </c>
      <c r="J50" s="37" t="s">
        <v>25</v>
      </c>
      <c r="K50" s="24" t="s">
        <v>71</v>
      </c>
      <c r="L50" s="37">
        <v>19000.0</v>
      </c>
      <c r="M50" s="24" t="s">
        <v>29</v>
      </c>
      <c r="N50" s="29">
        <f t="shared" si="1"/>
        <v>2.1</v>
      </c>
    </row>
    <row r="51">
      <c r="A51" s="80" t="s">
        <v>228</v>
      </c>
      <c r="B51" s="81" t="s">
        <v>229</v>
      </c>
      <c r="C51" s="82" t="s">
        <v>41</v>
      </c>
      <c r="D51" s="84">
        <v>36105.0</v>
      </c>
      <c r="E51" s="51" t="s">
        <v>21</v>
      </c>
      <c r="F51" s="85" t="s">
        <v>231</v>
      </c>
      <c r="G51" s="86">
        <v>44979.0</v>
      </c>
      <c r="H51" s="85" t="s">
        <v>23</v>
      </c>
      <c r="I51" s="51" t="s">
        <v>24</v>
      </c>
      <c r="J51" s="85" t="s">
        <v>25</v>
      </c>
      <c r="K51" s="51" t="s">
        <v>27</v>
      </c>
      <c r="L51" s="85">
        <v>33000.0</v>
      </c>
      <c r="M51" s="51" t="s">
        <v>53</v>
      </c>
      <c r="N51" s="87">
        <f t="shared" si="1"/>
        <v>3.6</v>
      </c>
    </row>
  </sheetData>
  <dataValidations>
    <dataValidation type="list" allowBlank="1" showErrorMessage="1" sqref="I2:I51">
      <formula1>"Active,On Leave,Resigned,Terminated "</formula1>
    </dataValidation>
    <dataValidation type="list" allowBlank="1" showErrorMessage="1" sqref="E2:E51">
      <formula1>"Administration,Finance,Front Office,Housekeeping,HR,IT,Kitchen,Restaurant,Sales &amp; Marketing,Security,Engineering "</formula1>
    </dataValidation>
    <dataValidation type="list" allowBlank="1" showErrorMessage="1" sqref="H2:H51">
      <formula1>"Contract,Full-Time,Intern,Part-Time"</formula1>
    </dataValidation>
    <dataValidation type="list" allowBlank="1" showErrorMessage="1" sqref="M2:M51">
      <formula1>"Evening,General,Morning,Night,Rotational "</formula1>
    </dataValidation>
    <dataValidation type="list" allowBlank="1" showErrorMessage="1" sqref="C2:C51">
      <formula1>"Female,Male"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15.5"/>
    <col customWidth="1" min="3" max="3" width="20.63"/>
    <col customWidth="1" min="4" max="4" width="19.5"/>
    <col customWidth="1" min="5" max="5" width="20.38"/>
    <col customWidth="1" min="6" max="6" width="17.0"/>
    <col customWidth="1" min="7" max="7" width="14.5"/>
    <col customWidth="1" min="8" max="8" width="13.75"/>
  </cols>
  <sheetData>
    <row r="1">
      <c r="A1" s="3"/>
      <c r="B1" s="5" t="s">
        <v>13</v>
      </c>
      <c r="C1" s="7"/>
      <c r="D1" s="7"/>
      <c r="E1" s="7"/>
      <c r="F1" s="9"/>
    </row>
    <row r="2">
      <c r="B2" s="10"/>
      <c r="C2" s="12"/>
      <c r="D2" s="12"/>
      <c r="E2" s="12"/>
      <c r="F2" s="13"/>
    </row>
    <row r="4">
      <c r="C4" s="16" t="s">
        <v>19</v>
      </c>
      <c r="D4" s="21">
        <f>COUNTA('Employee Master '!A2:A51)</f>
        <v>50</v>
      </c>
    </row>
    <row r="5">
      <c r="C5" s="22" t="s">
        <v>28</v>
      </c>
      <c r="D5" s="24">
        <v>44.0</v>
      </c>
    </row>
    <row r="6">
      <c r="C6" s="16" t="s">
        <v>30</v>
      </c>
      <c r="D6" s="26">
        <v>5.0</v>
      </c>
    </row>
    <row r="7">
      <c r="C7" s="22" t="s">
        <v>31</v>
      </c>
      <c r="D7" s="24">
        <v>1.0</v>
      </c>
    </row>
    <row r="8">
      <c r="C8" s="16" t="s">
        <v>32</v>
      </c>
      <c r="D8" s="26" t="s">
        <v>33</v>
      </c>
    </row>
    <row r="9">
      <c r="C9" s="22" t="s">
        <v>34</v>
      </c>
      <c r="D9" s="24">
        <v>28360.0</v>
      </c>
    </row>
    <row r="10">
      <c r="C10" s="16" t="s">
        <v>35</v>
      </c>
      <c r="D10" s="26">
        <v>2.9</v>
      </c>
    </row>
    <row r="11">
      <c r="C11" s="28" t="s">
        <v>36</v>
      </c>
      <c r="D11" s="30">
        <v>0.1</v>
      </c>
    </row>
    <row r="13">
      <c r="A13" s="32"/>
      <c r="B13" s="5" t="s">
        <v>40</v>
      </c>
      <c r="C13" s="7"/>
      <c r="D13" s="7"/>
      <c r="E13" s="7"/>
      <c r="F13" s="9"/>
    </row>
    <row r="14">
      <c r="B14" s="10"/>
      <c r="C14" s="12"/>
      <c r="D14" s="12"/>
      <c r="E14" s="12"/>
      <c r="F14" s="13"/>
    </row>
    <row r="16">
      <c r="A16" s="36" t="s">
        <v>42</v>
      </c>
      <c r="B16" s="38" t="s">
        <v>45</v>
      </c>
      <c r="C16" s="36" t="s">
        <v>24</v>
      </c>
      <c r="D16" s="38" t="s">
        <v>47</v>
      </c>
      <c r="E16" s="36" t="s">
        <v>48</v>
      </c>
      <c r="F16" s="38" t="s">
        <v>49</v>
      </c>
      <c r="G16" s="36" t="s">
        <v>50</v>
      </c>
      <c r="H16" s="40" t="s">
        <v>52</v>
      </c>
    </row>
    <row r="17">
      <c r="A17" s="19" t="s">
        <v>54</v>
      </c>
      <c r="B17" s="19">
        <v>5.0</v>
      </c>
      <c r="C17" s="19">
        <v>6.0</v>
      </c>
      <c r="D17" s="19">
        <v>0.0</v>
      </c>
      <c r="E17" s="19">
        <v>0.0</v>
      </c>
      <c r="F17" s="41">
        <v>25400.0</v>
      </c>
      <c r="G17" s="19">
        <v>1.8</v>
      </c>
      <c r="H17" s="42">
        <v>0.0</v>
      </c>
      <c r="I17" s="43"/>
      <c r="J17" s="44"/>
    </row>
    <row r="18">
      <c r="A18" s="26" t="s">
        <v>21</v>
      </c>
      <c r="B18" s="26">
        <v>6.0</v>
      </c>
      <c r="C18" s="26">
        <v>6.0</v>
      </c>
      <c r="D18" s="26">
        <v>0.0</v>
      </c>
      <c r="E18" s="26">
        <v>0.0</v>
      </c>
      <c r="F18" s="45">
        <v>33667.0</v>
      </c>
      <c r="G18" s="26">
        <v>4.2</v>
      </c>
      <c r="H18" s="47">
        <v>0.0</v>
      </c>
    </row>
    <row r="19">
      <c r="A19" s="24" t="s">
        <v>43</v>
      </c>
      <c r="B19" s="24">
        <v>6.0</v>
      </c>
      <c r="C19" s="24">
        <v>6.0</v>
      </c>
      <c r="D19" s="24">
        <v>0.0</v>
      </c>
      <c r="E19" s="24">
        <v>0.0</v>
      </c>
      <c r="F19" s="48">
        <v>23000.0</v>
      </c>
      <c r="G19" s="24">
        <v>3.0</v>
      </c>
      <c r="H19" s="49">
        <v>0.0</v>
      </c>
    </row>
    <row r="20">
      <c r="A20" s="26" t="s">
        <v>57</v>
      </c>
      <c r="B20" s="26">
        <v>6.0</v>
      </c>
      <c r="C20" s="26">
        <v>5.0</v>
      </c>
      <c r="D20" s="26">
        <v>0.0</v>
      </c>
      <c r="E20" s="26">
        <v>1.0</v>
      </c>
      <c r="F20" s="45">
        <v>25000.0</v>
      </c>
      <c r="G20" s="26">
        <v>2.9</v>
      </c>
      <c r="H20" s="47">
        <v>0.0</v>
      </c>
    </row>
    <row r="21">
      <c r="A21" s="24" t="s">
        <v>68</v>
      </c>
      <c r="B21" s="24">
        <v>6.0</v>
      </c>
      <c r="C21" s="24">
        <v>5.0</v>
      </c>
      <c r="D21" s="24">
        <v>1.0</v>
      </c>
      <c r="E21" s="24">
        <v>0.0</v>
      </c>
      <c r="F21" s="48">
        <v>30333.0</v>
      </c>
      <c r="G21" s="24">
        <v>3.8</v>
      </c>
      <c r="H21" s="50">
        <v>0.1667</v>
      </c>
    </row>
    <row r="22">
      <c r="A22" s="26" t="s">
        <v>72</v>
      </c>
      <c r="B22" s="26">
        <v>4.0</v>
      </c>
      <c r="C22" s="26">
        <v>4.0</v>
      </c>
      <c r="D22" s="26">
        <v>0.0</v>
      </c>
      <c r="E22" s="26">
        <v>0.0</v>
      </c>
      <c r="F22" s="45">
        <v>32000.0</v>
      </c>
      <c r="G22" s="26">
        <v>3.2</v>
      </c>
      <c r="H22" s="47">
        <v>0.0</v>
      </c>
    </row>
    <row r="23">
      <c r="A23" s="24" t="s">
        <v>75</v>
      </c>
      <c r="B23" s="24">
        <v>5.0</v>
      </c>
      <c r="C23" s="24">
        <v>4.0</v>
      </c>
      <c r="D23" s="24">
        <v>1.0</v>
      </c>
      <c r="E23" s="24">
        <v>0.0</v>
      </c>
      <c r="F23" s="48">
        <v>28400.0</v>
      </c>
      <c r="G23" s="24">
        <v>2.5</v>
      </c>
      <c r="H23" s="49">
        <v>0.2</v>
      </c>
    </row>
    <row r="24">
      <c r="A24" s="26" t="s">
        <v>77</v>
      </c>
      <c r="B24" s="26">
        <v>4.0</v>
      </c>
      <c r="C24" s="26">
        <v>4.0</v>
      </c>
      <c r="D24" s="26">
        <v>0.0</v>
      </c>
      <c r="E24" s="26">
        <v>0.0</v>
      </c>
      <c r="F24" s="45">
        <v>24500.0</v>
      </c>
      <c r="G24" s="26">
        <v>3.9</v>
      </c>
      <c r="H24" s="47">
        <v>0.0</v>
      </c>
    </row>
    <row r="25">
      <c r="A25" s="24" t="s">
        <v>79</v>
      </c>
      <c r="B25" s="24">
        <v>4.0</v>
      </c>
      <c r="C25" s="24">
        <v>4.0</v>
      </c>
      <c r="D25" s="24">
        <v>0.0</v>
      </c>
      <c r="E25" s="24">
        <v>0.0</v>
      </c>
      <c r="F25" s="48">
        <v>28500.0</v>
      </c>
      <c r="G25" s="24" t="s">
        <v>82</v>
      </c>
      <c r="H25" s="49">
        <v>0.0</v>
      </c>
    </row>
    <row r="26">
      <c r="A26" s="26" t="s">
        <v>83</v>
      </c>
      <c r="B26" s="26">
        <v>0.0</v>
      </c>
      <c r="C26" s="26">
        <v>0.0</v>
      </c>
      <c r="D26" s="26">
        <v>0.0</v>
      </c>
      <c r="E26" s="26">
        <v>0.0</v>
      </c>
      <c r="F26" s="45">
        <v>0.0</v>
      </c>
      <c r="G26" s="26">
        <v>0.0</v>
      </c>
      <c r="H26" s="26" t="s">
        <v>85</v>
      </c>
    </row>
    <row r="27">
      <c r="A27" s="51" t="s">
        <v>86</v>
      </c>
      <c r="B27" s="51">
        <v>4.0</v>
      </c>
      <c r="C27" s="51">
        <v>4.0</v>
      </c>
      <c r="D27" s="51">
        <v>3.0</v>
      </c>
      <c r="E27" s="51">
        <v>0.0</v>
      </c>
      <c r="F27" s="52">
        <v>35500.0</v>
      </c>
      <c r="G27" s="51">
        <v>3.1</v>
      </c>
      <c r="H27" s="30">
        <v>0.75</v>
      </c>
    </row>
  </sheetData>
  <mergeCells count="4">
    <mergeCell ref="A1:A2"/>
    <mergeCell ref="B1:F2"/>
    <mergeCell ref="A13:A14"/>
    <mergeCell ref="B13:F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88"/>
    <col customWidth="1" min="2" max="2" width="14.5"/>
  </cols>
  <sheetData>
    <row r="1">
      <c r="A1" s="54" t="s">
        <v>184</v>
      </c>
      <c r="B1" s="7"/>
      <c r="C1" s="7"/>
      <c r="D1" s="7"/>
      <c r="E1" s="7"/>
      <c r="F1" s="7"/>
      <c r="G1" s="7"/>
      <c r="H1" s="9"/>
    </row>
    <row r="2">
      <c r="A2" s="10"/>
      <c r="B2" s="12"/>
      <c r="C2" s="12"/>
      <c r="D2" s="12"/>
      <c r="E2" s="12"/>
      <c r="F2" s="12"/>
      <c r="G2" s="12"/>
      <c r="H2" s="13"/>
    </row>
    <row r="4">
      <c r="A4" s="55" t="s">
        <v>187</v>
      </c>
      <c r="B4" s="9"/>
      <c r="C4" s="56" t="s">
        <v>188</v>
      </c>
      <c r="D4" s="9"/>
      <c r="E4" s="56" t="s">
        <v>192</v>
      </c>
      <c r="F4" s="9"/>
      <c r="G4" s="56" t="s">
        <v>52</v>
      </c>
      <c r="H4" s="9"/>
    </row>
    <row r="5">
      <c r="A5" s="10"/>
      <c r="B5" s="13"/>
      <c r="C5" s="10"/>
      <c r="D5" s="13"/>
      <c r="E5" s="10"/>
      <c r="F5" s="13"/>
      <c r="G5" s="10"/>
      <c r="H5" s="13"/>
    </row>
    <row r="6">
      <c r="A6" s="57">
        <v>50.0</v>
      </c>
      <c r="B6" s="58"/>
      <c r="C6" s="57">
        <v>44.0</v>
      </c>
      <c r="D6" s="58"/>
      <c r="E6" s="57">
        <v>5.0</v>
      </c>
      <c r="F6" s="58"/>
      <c r="G6" s="59">
        <v>0.1</v>
      </c>
      <c r="H6" s="58"/>
    </row>
    <row r="8">
      <c r="A8" s="60" t="s">
        <v>198</v>
      </c>
      <c r="B8" s="9"/>
      <c r="C8" s="61" t="s">
        <v>199</v>
      </c>
      <c r="D8" s="9"/>
      <c r="E8" s="62" t="s">
        <v>201</v>
      </c>
      <c r="F8" s="9"/>
      <c r="G8" s="61" t="s">
        <v>203</v>
      </c>
      <c r="H8" s="9"/>
    </row>
    <row r="9">
      <c r="A9" s="10"/>
      <c r="B9" s="13"/>
      <c r="C9" s="10"/>
      <c r="D9" s="13"/>
      <c r="E9" s="10"/>
      <c r="F9" s="13"/>
      <c r="G9" s="10"/>
      <c r="H9" s="13"/>
    </row>
    <row r="10">
      <c r="A10" s="57" t="s">
        <v>33</v>
      </c>
      <c r="B10" s="58"/>
      <c r="C10" s="57" t="s">
        <v>204</v>
      </c>
      <c r="D10" s="58"/>
      <c r="E10" s="57" t="s">
        <v>205</v>
      </c>
      <c r="F10" s="58"/>
      <c r="G10" s="57">
        <v>1.0</v>
      </c>
      <c r="H10" s="58"/>
    </row>
    <row r="12">
      <c r="A12" s="63" t="s">
        <v>42</v>
      </c>
      <c r="B12" s="64" t="s">
        <v>45</v>
      </c>
    </row>
    <row r="13">
      <c r="A13" s="65"/>
      <c r="B13" s="13"/>
    </row>
    <row r="14">
      <c r="A14" s="66" t="s">
        <v>21</v>
      </c>
      <c r="B14" s="66">
        <v>6.0</v>
      </c>
    </row>
    <row r="15">
      <c r="A15" s="67" t="s">
        <v>43</v>
      </c>
      <c r="B15" s="67">
        <v>6.0</v>
      </c>
    </row>
    <row r="16">
      <c r="A16" s="68" t="s">
        <v>57</v>
      </c>
      <c r="B16" s="68">
        <v>6.0</v>
      </c>
    </row>
    <row r="17">
      <c r="A17" s="67" t="s">
        <v>54</v>
      </c>
      <c r="B17" s="67">
        <v>5.0</v>
      </c>
      <c r="I17" s="69"/>
    </row>
    <row r="18">
      <c r="A18" s="68" t="s">
        <v>68</v>
      </c>
      <c r="B18" s="68">
        <v>6.0</v>
      </c>
    </row>
    <row r="19">
      <c r="A19" s="67" t="s">
        <v>72</v>
      </c>
      <c r="B19" s="67">
        <v>4.0</v>
      </c>
    </row>
    <row r="20">
      <c r="A20" s="68" t="s">
        <v>75</v>
      </c>
      <c r="B20" s="68">
        <v>5.0</v>
      </c>
    </row>
    <row r="21">
      <c r="A21" s="67" t="s">
        <v>77</v>
      </c>
      <c r="B21" s="67">
        <v>4.0</v>
      </c>
    </row>
    <row r="22">
      <c r="A22" s="68" t="s">
        <v>79</v>
      </c>
      <c r="B22" s="68">
        <v>4.0</v>
      </c>
    </row>
    <row r="23">
      <c r="A23" s="67" t="s">
        <v>83</v>
      </c>
      <c r="B23" s="67">
        <v>0.0</v>
      </c>
    </row>
    <row r="24">
      <c r="A24" s="70" t="s">
        <v>86</v>
      </c>
      <c r="B24" s="70">
        <v>4.0</v>
      </c>
    </row>
    <row r="26">
      <c r="A26" s="63" t="s">
        <v>42</v>
      </c>
      <c r="B26" s="63" t="s">
        <v>52</v>
      </c>
    </row>
    <row r="27">
      <c r="A27" s="65"/>
      <c r="B27" s="65"/>
    </row>
    <row r="28">
      <c r="A28" s="66" t="s">
        <v>21</v>
      </c>
      <c r="B28" s="71">
        <v>0.0</v>
      </c>
    </row>
    <row r="29">
      <c r="A29" s="67" t="s">
        <v>43</v>
      </c>
      <c r="B29" s="72">
        <v>0.0</v>
      </c>
    </row>
    <row r="30">
      <c r="A30" s="68" t="s">
        <v>57</v>
      </c>
      <c r="B30" s="73">
        <v>0.0</v>
      </c>
    </row>
    <row r="31">
      <c r="A31" s="67" t="s">
        <v>54</v>
      </c>
      <c r="B31" s="72">
        <v>0.0</v>
      </c>
    </row>
    <row r="32">
      <c r="A32" s="68" t="s">
        <v>68</v>
      </c>
      <c r="B32" s="74">
        <v>0.1667</v>
      </c>
    </row>
    <row r="33">
      <c r="A33" s="67" t="s">
        <v>72</v>
      </c>
      <c r="B33" s="72">
        <v>0.0</v>
      </c>
    </row>
    <row r="34">
      <c r="A34" s="68" t="s">
        <v>75</v>
      </c>
      <c r="B34" s="73">
        <v>0.2</v>
      </c>
    </row>
    <row r="35">
      <c r="A35" s="67" t="s">
        <v>77</v>
      </c>
      <c r="B35" s="72">
        <v>0.0</v>
      </c>
    </row>
    <row r="36">
      <c r="A36" s="68" t="s">
        <v>79</v>
      </c>
      <c r="B36" s="73">
        <v>0.0</v>
      </c>
    </row>
    <row r="37">
      <c r="A37" s="67" t="s">
        <v>83</v>
      </c>
      <c r="B37" s="67" t="s">
        <v>85</v>
      </c>
    </row>
    <row r="38">
      <c r="A38" s="70" t="s">
        <v>86</v>
      </c>
      <c r="B38" s="75">
        <v>0.75</v>
      </c>
    </row>
    <row r="40">
      <c r="A40" s="76" t="s">
        <v>117</v>
      </c>
      <c r="B40" s="77"/>
      <c r="C40" s="77"/>
      <c r="D40" s="77"/>
      <c r="E40" s="77"/>
      <c r="F40" s="77"/>
      <c r="G40" s="77"/>
      <c r="H40" s="58"/>
    </row>
    <row r="42">
      <c r="A42" s="78" t="s">
        <v>219</v>
      </c>
      <c r="B42" s="7"/>
      <c r="C42" s="7"/>
      <c r="D42" s="7"/>
      <c r="E42" s="7"/>
      <c r="F42" s="7"/>
      <c r="G42" s="7"/>
      <c r="H42" s="9"/>
    </row>
    <row r="43">
      <c r="A43" s="10"/>
      <c r="B43" s="12"/>
      <c r="C43" s="12"/>
      <c r="D43" s="12"/>
      <c r="E43" s="12"/>
      <c r="F43" s="12"/>
      <c r="G43" s="12"/>
      <c r="H43" s="13"/>
    </row>
    <row r="45">
      <c r="A45" s="79" t="s">
        <v>222</v>
      </c>
      <c r="B45" s="7"/>
      <c r="C45" s="7"/>
      <c r="D45" s="7"/>
      <c r="E45" s="7"/>
      <c r="F45" s="7"/>
      <c r="G45" s="7"/>
      <c r="H45" s="9"/>
    </row>
    <row r="46">
      <c r="A46" s="10"/>
      <c r="B46" s="12"/>
      <c r="C46" s="12"/>
      <c r="D46" s="12"/>
      <c r="E46" s="12"/>
      <c r="F46" s="12"/>
      <c r="G46" s="12"/>
      <c r="H46" s="13"/>
    </row>
    <row r="48">
      <c r="A48" s="78" t="s">
        <v>225</v>
      </c>
      <c r="B48" s="7"/>
      <c r="C48" s="7"/>
      <c r="D48" s="7"/>
      <c r="E48" s="7"/>
      <c r="F48" s="7"/>
      <c r="G48" s="7"/>
      <c r="H48" s="9"/>
    </row>
    <row r="49">
      <c r="A49" s="10"/>
      <c r="B49" s="12"/>
      <c r="C49" s="12"/>
      <c r="D49" s="12"/>
      <c r="E49" s="12"/>
      <c r="F49" s="12"/>
      <c r="G49" s="12"/>
      <c r="H49" s="13"/>
    </row>
    <row r="51">
      <c r="A51" s="78" t="s">
        <v>227</v>
      </c>
      <c r="B51" s="7"/>
      <c r="C51" s="7"/>
      <c r="D51" s="7"/>
      <c r="E51" s="7"/>
      <c r="F51" s="7"/>
      <c r="G51" s="7"/>
      <c r="H51" s="9"/>
    </row>
    <row r="52">
      <c r="A52" s="10"/>
      <c r="B52" s="12"/>
      <c r="C52" s="12"/>
      <c r="D52" s="12"/>
      <c r="E52" s="12"/>
      <c r="F52" s="12"/>
      <c r="G52" s="12"/>
      <c r="H52" s="13"/>
    </row>
    <row r="54">
      <c r="A54" s="83" t="s">
        <v>230</v>
      </c>
      <c r="B54" s="7"/>
      <c r="C54" s="7"/>
      <c r="D54" s="7"/>
      <c r="E54" s="7"/>
      <c r="F54" s="7"/>
      <c r="G54" s="7"/>
      <c r="H54" s="9"/>
    </row>
    <row r="55">
      <c r="A55" s="10"/>
      <c r="B55" s="12"/>
      <c r="C55" s="12"/>
      <c r="D55" s="12"/>
      <c r="E55" s="12"/>
      <c r="F55" s="12"/>
      <c r="G55" s="12"/>
      <c r="H55" s="13"/>
    </row>
  </sheetData>
  <mergeCells count="27">
    <mergeCell ref="E6:F6"/>
    <mergeCell ref="G6:H6"/>
    <mergeCell ref="A1:H2"/>
    <mergeCell ref="A4:B5"/>
    <mergeCell ref="C4:D5"/>
    <mergeCell ref="E4:F5"/>
    <mergeCell ref="G4:H5"/>
    <mergeCell ref="A6:B6"/>
    <mergeCell ref="C6:D6"/>
    <mergeCell ref="A8:B9"/>
    <mergeCell ref="C8:D9"/>
    <mergeCell ref="E8:F9"/>
    <mergeCell ref="G8:H9"/>
    <mergeCell ref="C10:D10"/>
    <mergeCell ref="E10:F10"/>
    <mergeCell ref="G10:H10"/>
    <mergeCell ref="A45:H46"/>
    <mergeCell ref="A48:H49"/>
    <mergeCell ref="A51:H52"/>
    <mergeCell ref="A54:H55"/>
    <mergeCell ref="A10:B10"/>
    <mergeCell ref="A12:A13"/>
    <mergeCell ref="B12:B13"/>
    <mergeCell ref="A26:A27"/>
    <mergeCell ref="B26:B27"/>
    <mergeCell ref="A40:H40"/>
    <mergeCell ref="A42:H4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8" t="s">
        <v>15</v>
      </c>
      <c r="B1" s="7"/>
      <c r="C1" s="7"/>
      <c r="D1" s="7"/>
      <c r="E1" s="7"/>
      <c r="F1" s="7"/>
      <c r="G1" s="7"/>
      <c r="H1" s="9"/>
    </row>
    <row r="2">
      <c r="A2" s="10"/>
      <c r="B2" s="12"/>
      <c r="C2" s="12"/>
      <c r="D2" s="12"/>
      <c r="E2" s="12"/>
      <c r="F2" s="12"/>
      <c r="G2" s="12"/>
      <c r="H2" s="13"/>
    </row>
    <row r="3">
      <c r="A3" s="14"/>
      <c r="B3" s="14"/>
      <c r="C3" s="14"/>
      <c r="D3" s="14"/>
      <c r="E3" s="14"/>
      <c r="F3" s="14"/>
      <c r="G3" s="14"/>
      <c r="H3" s="14"/>
    </row>
    <row r="4">
      <c r="A4" s="18" t="s">
        <v>20</v>
      </c>
      <c r="B4" s="7"/>
      <c r="C4" s="7"/>
      <c r="D4" s="7"/>
      <c r="E4" s="7"/>
      <c r="F4" s="7"/>
      <c r="G4" s="7"/>
      <c r="H4" s="9"/>
    </row>
    <row r="5">
      <c r="A5" s="10"/>
      <c r="B5" s="12"/>
      <c r="C5" s="12"/>
      <c r="D5" s="12"/>
      <c r="E5" s="12"/>
      <c r="F5" s="12"/>
      <c r="G5" s="12"/>
      <c r="H5" s="13"/>
    </row>
    <row r="6">
      <c r="A6" s="14"/>
      <c r="B6" s="14"/>
      <c r="C6" s="14"/>
      <c r="D6" s="14"/>
      <c r="E6" s="14"/>
      <c r="F6" s="14"/>
      <c r="G6" s="14"/>
      <c r="H6" s="14"/>
    </row>
    <row r="7">
      <c r="A7" s="23" t="s">
        <v>26</v>
      </c>
      <c r="B7" s="7"/>
      <c r="C7" s="7"/>
      <c r="D7" s="7"/>
      <c r="E7" s="7"/>
      <c r="F7" s="7"/>
      <c r="G7" s="7"/>
      <c r="H7" s="9"/>
    </row>
    <row r="8">
      <c r="A8" s="25"/>
      <c r="H8" s="27"/>
    </row>
    <row r="9">
      <c r="A9" s="25"/>
      <c r="H9" s="27"/>
    </row>
    <row r="10">
      <c r="A10" s="10"/>
      <c r="B10" s="12"/>
      <c r="C10" s="12"/>
      <c r="D10" s="12"/>
      <c r="E10" s="12"/>
      <c r="F10" s="12"/>
      <c r="G10" s="12"/>
      <c r="H10" s="13"/>
    </row>
    <row r="11">
      <c r="A11" s="14"/>
      <c r="B11" s="14"/>
      <c r="C11" s="14"/>
      <c r="D11" s="14"/>
      <c r="E11" s="14"/>
      <c r="F11" s="14"/>
      <c r="G11" s="14"/>
      <c r="H11" s="14"/>
    </row>
    <row r="12">
      <c r="A12" s="18" t="s">
        <v>37</v>
      </c>
      <c r="B12" s="7"/>
      <c r="C12" s="7"/>
      <c r="D12" s="7"/>
      <c r="E12" s="7"/>
      <c r="F12" s="7"/>
      <c r="G12" s="7"/>
      <c r="H12" s="9"/>
    </row>
    <row r="13">
      <c r="A13" s="10"/>
      <c r="B13" s="12"/>
      <c r="C13" s="12"/>
      <c r="D13" s="12"/>
      <c r="E13" s="12"/>
      <c r="F13" s="12"/>
      <c r="G13" s="12"/>
      <c r="H13" s="13"/>
    </row>
    <row r="14">
      <c r="A14" s="14"/>
      <c r="B14" s="14"/>
      <c r="C14" s="14"/>
      <c r="D14" s="14"/>
      <c r="E14" s="14"/>
      <c r="F14" s="14"/>
      <c r="G14" s="14"/>
      <c r="H14" s="14"/>
    </row>
    <row r="15">
      <c r="A15" s="23" t="s">
        <v>46</v>
      </c>
      <c r="B15" s="7"/>
      <c r="C15" s="7"/>
      <c r="D15" s="7"/>
      <c r="E15" s="7"/>
      <c r="F15" s="7"/>
      <c r="G15" s="7"/>
      <c r="H15" s="9"/>
    </row>
    <row r="16">
      <c r="A16" s="25"/>
      <c r="H16" s="27"/>
    </row>
    <row r="17">
      <c r="A17" s="25"/>
      <c r="H17" s="27"/>
    </row>
    <row r="18">
      <c r="A18" s="10"/>
      <c r="B18" s="12"/>
      <c r="C18" s="12"/>
      <c r="D18" s="12"/>
      <c r="E18" s="12"/>
      <c r="F18" s="12"/>
      <c r="G18" s="12"/>
      <c r="H18" s="13"/>
    </row>
    <row r="19">
      <c r="A19" s="14"/>
      <c r="B19" s="14"/>
      <c r="C19" s="14"/>
      <c r="D19" s="14"/>
      <c r="E19" s="14"/>
      <c r="F19" s="14"/>
      <c r="G19" s="14"/>
      <c r="H19" s="14"/>
    </row>
    <row r="20">
      <c r="A20" s="18" t="s">
        <v>63</v>
      </c>
      <c r="B20" s="7"/>
      <c r="C20" s="7"/>
      <c r="D20" s="7"/>
      <c r="E20" s="7"/>
      <c r="F20" s="7"/>
      <c r="G20" s="7"/>
      <c r="H20" s="9"/>
    </row>
    <row r="21">
      <c r="A21" s="10"/>
      <c r="B21" s="12"/>
      <c r="C21" s="12"/>
      <c r="D21" s="12"/>
      <c r="E21" s="12"/>
      <c r="F21" s="12"/>
      <c r="G21" s="12"/>
      <c r="H21" s="13"/>
    </row>
    <row r="22">
      <c r="A22" s="14"/>
      <c r="B22" s="14"/>
      <c r="C22" s="14"/>
      <c r="D22" s="14"/>
      <c r="E22" s="14"/>
      <c r="F22" s="14"/>
      <c r="G22" s="14"/>
      <c r="H22" s="14"/>
    </row>
    <row r="23">
      <c r="A23" s="23" t="s">
        <v>70</v>
      </c>
      <c r="B23" s="7"/>
      <c r="C23" s="7"/>
      <c r="D23" s="7"/>
      <c r="E23" s="7"/>
      <c r="F23" s="7"/>
      <c r="G23" s="7"/>
      <c r="H23" s="9"/>
    </row>
    <row r="24">
      <c r="A24" s="25"/>
      <c r="H24" s="27"/>
    </row>
    <row r="25">
      <c r="A25" s="25"/>
      <c r="H25" s="27"/>
    </row>
    <row r="26">
      <c r="A26" s="10"/>
      <c r="B26" s="12"/>
      <c r="C26" s="12"/>
      <c r="D26" s="12"/>
      <c r="E26" s="12"/>
      <c r="F26" s="12"/>
      <c r="G26" s="12"/>
      <c r="H26" s="13"/>
    </row>
    <row r="27">
      <c r="A27" s="14"/>
      <c r="B27" s="14"/>
      <c r="C27" s="14"/>
      <c r="D27" s="14"/>
      <c r="E27" s="14"/>
      <c r="F27" s="14"/>
      <c r="G27" s="14"/>
      <c r="H27" s="14"/>
    </row>
    <row r="28">
      <c r="A28" s="18" t="s">
        <v>89</v>
      </c>
      <c r="B28" s="7"/>
      <c r="C28" s="7"/>
      <c r="D28" s="7"/>
      <c r="E28" s="7"/>
      <c r="F28" s="7"/>
      <c r="G28" s="7"/>
      <c r="H28" s="9"/>
    </row>
    <row r="29">
      <c r="A29" s="10"/>
      <c r="B29" s="12"/>
      <c r="C29" s="12"/>
      <c r="D29" s="12"/>
      <c r="E29" s="12"/>
      <c r="F29" s="12"/>
      <c r="G29" s="12"/>
      <c r="H29" s="13"/>
    </row>
    <row r="30">
      <c r="A30" s="14"/>
      <c r="B30" s="14"/>
      <c r="C30" s="14"/>
      <c r="D30" s="14"/>
      <c r="E30" s="14"/>
      <c r="F30" s="14"/>
      <c r="G30" s="14"/>
      <c r="H30" s="14"/>
    </row>
    <row r="31">
      <c r="A31" s="23" t="s">
        <v>97</v>
      </c>
      <c r="B31" s="7"/>
      <c r="C31" s="7"/>
      <c r="D31" s="7"/>
      <c r="E31" s="7"/>
      <c r="F31" s="7"/>
      <c r="G31" s="7"/>
      <c r="H31" s="9"/>
    </row>
    <row r="32">
      <c r="A32" s="25"/>
      <c r="H32" s="27"/>
    </row>
    <row r="33">
      <c r="A33" s="25"/>
      <c r="H33" s="27"/>
    </row>
    <row r="34">
      <c r="A34" s="10"/>
      <c r="B34" s="12"/>
      <c r="C34" s="12"/>
      <c r="D34" s="12"/>
      <c r="E34" s="12"/>
      <c r="F34" s="12"/>
      <c r="G34" s="12"/>
      <c r="H34" s="13"/>
    </row>
    <row r="35">
      <c r="A35" s="14"/>
      <c r="B35" s="14"/>
      <c r="C35" s="14"/>
      <c r="D35" s="14"/>
      <c r="E35" s="14"/>
      <c r="F35" s="14"/>
      <c r="G35" s="14"/>
      <c r="H35" s="14"/>
    </row>
    <row r="36">
      <c r="A36" s="18" t="s">
        <v>104</v>
      </c>
      <c r="B36" s="7"/>
      <c r="C36" s="7"/>
      <c r="D36" s="7"/>
      <c r="E36" s="7"/>
      <c r="F36" s="7"/>
      <c r="G36" s="7"/>
      <c r="H36" s="9"/>
    </row>
    <row r="37">
      <c r="A37" s="10"/>
      <c r="B37" s="12"/>
      <c r="C37" s="12"/>
      <c r="D37" s="12"/>
      <c r="E37" s="12"/>
      <c r="F37" s="12"/>
      <c r="G37" s="12"/>
      <c r="H37" s="13"/>
    </row>
    <row r="38">
      <c r="A38" s="14"/>
      <c r="B38" s="14"/>
      <c r="C38" s="14"/>
      <c r="D38" s="14"/>
      <c r="E38" s="14"/>
      <c r="F38" s="14"/>
      <c r="G38" s="14"/>
      <c r="H38" s="14"/>
    </row>
    <row r="39">
      <c r="A39" s="23" t="s">
        <v>111</v>
      </c>
      <c r="B39" s="7"/>
      <c r="C39" s="7"/>
      <c r="D39" s="7"/>
      <c r="E39" s="7"/>
      <c r="F39" s="7"/>
      <c r="G39" s="7"/>
      <c r="H39" s="9"/>
    </row>
    <row r="40">
      <c r="A40" s="25"/>
      <c r="H40" s="27"/>
    </row>
    <row r="41">
      <c r="A41" s="25"/>
      <c r="H41" s="27"/>
    </row>
    <row r="42">
      <c r="A42" s="10"/>
      <c r="B42" s="12"/>
      <c r="C42" s="12"/>
      <c r="D42" s="12"/>
      <c r="E42" s="12"/>
      <c r="F42" s="12"/>
      <c r="G42" s="12"/>
      <c r="H42" s="13"/>
    </row>
    <row r="43">
      <c r="A43" s="14"/>
      <c r="B43" s="14"/>
      <c r="C43" s="14"/>
      <c r="D43" s="14"/>
      <c r="E43" s="14"/>
      <c r="F43" s="14"/>
      <c r="G43" s="14"/>
      <c r="H43" s="14"/>
    </row>
    <row r="44">
      <c r="A44" s="18" t="s">
        <v>117</v>
      </c>
      <c r="B44" s="7"/>
      <c r="C44" s="7"/>
      <c r="D44" s="7"/>
      <c r="E44" s="7"/>
      <c r="F44" s="7"/>
      <c r="G44" s="7"/>
      <c r="H44" s="9"/>
    </row>
    <row r="45">
      <c r="A45" s="10"/>
      <c r="B45" s="12"/>
      <c r="C45" s="12"/>
      <c r="D45" s="12"/>
      <c r="E45" s="12"/>
      <c r="F45" s="12"/>
      <c r="G45" s="12"/>
      <c r="H45" s="13"/>
    </row>
    <row r="46">
      <c r="A46" s="14"/>
      <c r="B46" s="14"/>
      <c r="C46" s="14"/>
      <c r="D46" s="14"/>
      <c r="E46" s="14"/>
      <c r="F46" s="14"/>
      <c r="G46" s="14"/>
      <c r="H46" s="14"/>
    </row>
    <row r="47">
      <c r="A47" s="23" t="s">
        <v>124</v>
      </c>
      <c r="B47" s="7"/>
      <c r="C47" s="7"/>
      <c r="D47" s="7"/>
      <c r="E47" s="7"/>
      <c r="F47" s="7"/>
      <c r="G47" s="7"/>
      <c r="H47" s="9"/>
    </row>
    <row r="48">
      <c r="A48" s="25"/>
      <c r="H48" s="27"/>
    </row>
    <row r="49">
      <c r="A49" s="25"/>
      <c r="H49" s="27"/>
    </row>
    <row r="50">
      <c r="A50" s="10"/>
      <c r="B50" s="12"/>
      <c r="C50" s="12"/>
      <c r="D50" s="12"/>
      <c r="E50" s="12"/>
      <c r="F50" s="12"/>
      <c r="G50" s="12"/>
      <c r="H50" s="13"/>
    </row>
    <row r="51">
      <c r="A51" s="14"/>
      <c r="B51" s="14"/>
      <c r="C51" s="14"/>
      <c r="D51" s="14"/>
      <c r="E51" s="14"/>
      <c r="F51" s="14"/>
      <c r="G51" s="14"/>
      <c r="H51" s="14"/>
    </row>
    <row r="52">
      <c r="A52" s="18" t="s">
        <v>131</v>
      </c>
      <c r="B52" s="7"/>
      <c r="C52" s="7"/>
      <c r="D52" s="7"/>
      <c r="E52" s="7"/>
      <c r="F52" s="7"/>
      <c r="G52" s="7"/>
      <c r="H52" s="9"/>
    </row>
    <row r="53">
      <c r="A53" s="10"/>
      <c r="B53" s="12"/>
      <c r="C53" s="12"/>
      <c r="D53" s="12"/>
      <c r="E53" s="12"/>
      <c r="F53" s="12"/>
      <c r="G53" s="12"/>
      <c r="H53" s="13"/>
    </row>
    <row r="54">
      <c r="A54" s="14"/>
      <c r="B54" s="14"/>
      <c r="C54" s="14"/>
      <c r="D54" s="14"/>
      <c r="E54" s="14"/>
      <c r="F54" s="14"/>
      <c r="G54" s="14"/>
      <c r="H54" s="14"/>
    </row>
    <row r="55">
      <c r="A55" s="23" t="s">
        <v>138</v>
      </c>
      <c r="B55" s="7"/>
      <c r="C55" s="7"/>
      <c r="D55" s="7"/>
      <c r="E55" s="7"/>
      <c r="F55" s="7"/>
      <c r="G55" s="7"/>
      <c r="H55" s="9"/>
    </row>
    <row r="56">
      <c r="A56" s="25"/>
      <c r="H56" s="27"/>
    </row>
    <row r="57">
      <c r="A57" s="25"/>
      <c r="H57" s="27"/>
    </row>
    <row r="58">
      <c r="A58" s="10"/>
      <c r="B58" s="12"/>
      <c r="C58" s="12"/>
      <c r="D58" s="12"/>
      <c r="E58" s="12"/>
      <c r="F58" s="12"/>
      <c r="G58" s="12"/>
      <c r="H58" s="13"/>
    </row>
    <row r="59">
      <c r="A59" s="14"/>
      <c r="B59" s="14"/>
      <c r="C59" s="14"/>
      <c r="D59" s="14"/>
      <c r="E59" s="14"/>
      <c r="F59" s="14"/>
      <c r="G59" s="14"/>
      <c r="H59" s="14"/>
    </row>
    <row r="60">
      <c r="A60" s="18" t="s">
        <v>143</v>
      </c>
      <c r="B60" s="7"/>
      <c r="C60" s="7"/>
      <c r="D60" s="7"/>
      <c r="E60" s="7"/>
      <c r="F60" s="7"/>
      <c r="G60" s="7"/>
      <c r="H60" s="9"/>
    </row>
    <row r="61">
      <c r="A61" s="10"/>
      <c r="B61" s="12"/>
      <c r="C61" s="12"/>
      <c r="D61" s="12"/>
      <c r="E61" s="12"/>
      <c r="F61" s="12"/>
      <c r="G61" s="12"/>
      <c r="H61" s="13"/>
    </row>
    <row r="62">
      <c r="A62" s="14"/>
      <c r="B62" s="14"/>
      <c r="C62" s="14"/>
      <c r="D62" s="14"/>
      <c r="E62" s="14"/>
      <c r="F62" s="14"/>
      <c r="G62" s="14"/>
      <c r="H62" s="14"/>
    </row>
    <row r="63">
      <c r="A63" s="23" t="s">
        <v>148</v>
      </c>
      <c r="B63" s="7"/>
      <c r="C63" s="7"/>
      <c r="D63" s="7"/>
      <c r="E63" s="7"/>
      <c r="F63" s="7"/>
      <c r="G63" s="7"/>
      <c r="H63" s="9"/>
    </row>
    <row r="64">
      <c r="A64" s="25"/>
      <c r="H64" s="27"/>
    </row>
    <row r="65">
      <c r="A65" s="25"/>
      <c r="H65" s="27"/>
    </row>
    <row r="66">
      <c r="A66" s="10"/>
      <c r="B66" s="12"/>
      <c r="C66" s="12"/>
      <c r="D66" s="12"/>
      <c r="E66" s="12"/>
      <c r="F66" s="12"/>
      <c r="G66" s="12"/>
      <c r="H66" s="13"/>
    </row>
    <row r="67">
      <c r="A67" s="14"/>
      <c r="B67" s="14"/>
      <c r="C67" s="14"/>
      <c r="D67" s="14"/>
      <c r="E67" s="14"/>
      <c r="F67" s="14"/>
      <c r="G67" s="14"/>
      <c r="H67" s="14"/>
    </row>
    <row r="68">
      <c r="A68" s="18" t="s">
        <v>153</v>
      </c>
      <c r="B68" s="7"/>
      <c r="C68" s="7"/>
      <c r="D68" s="7"/>
      <c r="E68" s="7"/>
      <c r="F68" s="7"/>
      <c r="G68" s="7"/>
      <c r="H68" s="9"/>
    </row>
    <row r="69">
      <c r="A69" s="10"/>
      <c r="B69" s="12"/>
      <c r="C69" s="12"/>
      <c r="D69" s="12"/>
      <c r="E69" s="12"/>
      <c r="F69" s="12"/>
      <c r="G69" s="12"/>
      <c r="H69" s="13"/>
    </row>
    <row r="70">
      <c r="A70" s="14"/>
      <c r="B70" s="14"/>
      <c r="C70" s="14"/>
      <c r="D70" s="14"/>
      <c r="E70" s="14"/>
      <c r="F70" s="14"/>
      <c r="G70" s="14"/>
      <c r="H70" s="14"/>
    </row>
    <row r="71">
      <c r="A71" s="23" t="s">
        <v>158</v>
      </c>
      <c r="B71" s="7"/>
      <c r="C71" s="7"/>
      <c r="D71" s="7"/>
      <c r="E71" s="7"/>
      <c r="F71" s="7"/>
      <c r="G71" s="7"/>
      <c r="H71" s="9"/>
    </row>
    <row r="72">
      <c r="A72" s="25"/>
      <c r="H72" s="27"/>
    </row>
    <row r="73">
      <c r="A73" s="25"/>
      <c r="H73" s="27"/>
    </row>
    <row r="74">
      <c r="A74" s="10"/>
      <c r="B74" s="12"/>
      <c r="C74" s="12"/>
      <c r="D74" s="12"/>
      <c r="E74" s="12"/>
      <c r="F74" s="12"/>
      <c r="G74" s="12"/>
      <c r="H74" s="13"/>
    </row>
  </sheetData>
  <mergeCells count="19">
    <mergeCell ref="A1:H2"/>
    <mergeCell ref="A4:H5"/>
    <mergeCell ref="A7:H10"/>
    <mergeCell ref="A12:H13"/>
    <mergeCell ref="A15:H18"/>
    <mergeCell ref="A20:H21"/>
    <mergeCell ref="A23:H26"/>
    <mergeCell ref="A55:H58"/>
    <mergeCell ref="A60:H61"/>
    <mergeCell ref="A63:H66"/>
    <mergeCell ref="A68:H69"/>
    <mergeCell ref="A71:H74"/>
    <mergeCell ref="A28:H29"/>
    <mergeCell ref="A31:H34"/>
    <mergeCell ref="A36:H37"/>
    <mergeCell ref="A39:H42"/>
    <mergeCell ref="A44:H45"/>
    <mergeCell ref="A47:H50"/>
    <mergeCell ref="A52:H53"/>
  </mergeCells>
  <drawing r:id="rId1"/>
</worksheet>
</file>